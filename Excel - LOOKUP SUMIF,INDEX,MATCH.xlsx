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hw\Desktop\"/>
    </mc:Choice>
  </mc:AlternateContent>
  <xr:revisionPtr revIDLastSave="0" documentId="8_{B01B8A7F-036E-4F7B-8371-07A0E4DB2AA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roduct_Master" sheetId="4" r:id="rId1"/>
    <sheet name="Sales_Orders" sheetId="5" r:id="rId2"/>
    <sheet name="Index_Match_Report" sheetId="6" r:id="rId3"/>
  </sheets>
  <definedNames>
    <definedName name="Customer_Categories">#REF!</definedName>
    <definedName name="Discount_Categories">#REF!</definedName>
    <definedName name="Discounts">#REF!</definedName>
    <definedName name="Item_Code">#REF!</definedName>
    <definedName name="Quote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4" l="1" a="1"/>
  <c r="K7" i="4" s="1"/>
  <c r="L7" i="4" s="1"/>
  <c r="L12" i="4" l="1"/>
  <c r="L8" i="4"/>
  <c r="L20" i="4" s="1"/>
  <c r="L18" i="4"/>
  <c r="L14" i="4"/>
  <c r="L10" i="4"/>
  <c r="L17" i="4"/>
  <c r="L13" i="4"/>
  <c r="L9" i="4"/>
  <c r="L16" i="4"/>
  <c r="L19" i="4"/>
  <c r="L15" i="4"/>
  <c r="L11" i="4"/>
  <c r="F2" i="5" l="1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A0EF62-22BF-4EEB-81BD-CED8D0DBFAB6}" keepAlive="1" name="Query - tblSalesOrders" description="Connection to the 'tblSalesOrders' query in the workbook." type="5" refreshedVersion="0" background="1">
    <dbPr connection="Provider=Microsoft.Mashup.OleDb.1;Data Source=$Workbook$;Location=tblSalesOrders;Extended Properties=&quot;&quot;" command="SELECT * FROM [tblSalesOrder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<sst xmlns="http://schemas.openxmlformats.org/spreadsheetml/2006/main" count="255" uniqueCount="158">
  <si>
    <t>Category</t>
  </si>
  <si>
    <t>Qty</t>
  </si>
  <si>
    <t>TOTAL</t>
  </si>
  <si>
    <t>Product Code</t>
  </si>
  <si>
    <t>Product Name</t>
  </si>
  <si>
    <t>Brand</t>
  </si>
  <si>
    <t>Supplier</t>
  </si>
  <si>
    <t>Unit Cost</t>
  </si>
  <si>
    <t>Selling Price</t>
  </si>
  <si>
    <t>Stock Qty</t>
  </si>
  <si>
    <t>Reorder Level</t>
  </si>
  <si>
    <t>P2001</t>
  </si>
  <si>
    <t>Wireless Mouse M310</t>
  </si>
  <si>
    <t>Computer Accessories</t>
  </si>
  <si>
    <t>LogiTech</t>
  </si>
  <si>
    <t>Northstar Distributors</t>
  </si>
  <si>
    <t>P2002</t>
  </si>
  <si>
    <t>Mechanical Keyboard K8</t>
  </si>
  <si>
    <t>KeyCraft</t>
  </si>
  <si>
    <t>Orbit Wholesale</t>
  </si>
  <si>
    <t>P2003</t>
  </si>
  <si>
    <t>USB-C Hub 7-in-1</t>
  </si>
  <si>
    <t>PortPro</t>
  </si>
  <si>
    <t>P2004</t>
  </si>
  <si>
    <t>27-inch IPS Monitor</t>
  </si>
  <si>
    <t>Monitors</t>
  </si>
  <si>
    <t>ViewMax</t>
  </si>
  <si>
    <t>Metro Tech Supply</t>
  </si>
  <si>
    <t>P2005</t>
  </si>
  <si>
    <t>Laptop Stand Aluminium</t>
  </si>
  <si>
    <t>Office Accessories</t>
  </si>
  <si>
    <t>WorkEase</t>
  </si>
  <si>
    <t>P2006</t>
  </si>
  <si>
    <t>Noise Cancelling Headphones</t>
  </si>
  <si>
    <t>Audio</t>
  </si>
  <si>
    <t>SoundPeak</t>
  </si>
  <si>
    <t>Sonic Trade House</t>
  </si>
  <si>
    <t>P2007</t>
  </si>
  <si>
    <t>Bluetooth Speaker Mini</t>
  </si>
  <si>
    <t>P2008</t>
  </si>
  <si>
    <t>Webcam Full HD</t>
  </si>
  <si>
    <t>VisionLink</t>
  </si>
  <si>
    <t>P2009</t>
  </si>
  <si>
    <t>Portable SSD 1TB</t>
  </si>
  <si>
    <t>Storage</t>
  </si>
  <si>
    <t>DataVault</t>
  </si>
  <si>
    <t>Digital Components Co</t>
  </si>
  <si>
    <t>P2010</t>
  </si>
  <si>
    <t>External HDD 2TB</t>
  </si>
  <si>
    <t>P2011</t>
  </si>
  <si>
    <t>Laser Printer P220</t>
  </si>
  <si>
    <t>Printers</t>
  </si>
  <si>
    <t>PrintEdge</t>
  </si>
  <si>
    <t>Office Machines India</t>
  </si>
  <si>
    <t>P2012</t>
  </si>
  <si>
    <t>Inkjet Printer C410</t>
  </si>
  <si>
    <t>P2013</t>
  </si>
  <si>
    <t>A4 Copier Paper 80 GSM</t>
  </si>
  <si>
    <t>Stationery</t>
  </si>
  <si>
    <t>PaperLine</t>
  </si>
  <si>
    <t>Classic Office Mart</t>
  </si>
  <si>
    <t>P2014</t>
  </si>
  <si>
    <t>Gel Pen Box - Blue</t>
  </si>
  <si>
    <t>WriteWell</t>
  </si>
  <si>
    <t>P2015</t>
  </si>
  <si>
    <t>Hardbound Notebook A5</t>
  </si>
  <si>
    <t>NoteNest</t>
  </si>
  <si>
    <t>P2016</t>
  </si>
  <si>
    <t>Ergonomic Office Chair</t>
  </si>
  <si>
    <t>Furniture</t>
  </si>
  <si>
    <t>SeatRight</t>
  </si>
  <si>
    <t>Urban Workspace</t>
  </si>
  <si>
    <t>P2017</t>
  </si>
  <si>
    <t>Height Adjustable Desk</t>
  </si>
  <si>
    <t>P2018</t>
  </si>
  <si>
    <t>LED Desk Lamp</t>
  </si>
  <si>
    <t>BrightLite</t>
  </si>
  <si>
    <t>P2019</t>
  </si>
  <si>
    <t>Smart Power Strip</t>
  </si>
  <si>
    <t>Electrical</t>
  </si>
  <si>
    <t>VoltSafe</t>
  </si>
  <si>
    <t>P2020</t>
  </si>
  <si>
    <t>Wi-Fi Router AX1800</t>
  </si>
  <si>
    <t>Networking</t>
  </si>
  <si>
    <t>NetWave</t>
  </si>
  <si>
    <t>P2021</t>
  </si>
  <si>
    <t>Ethernet Cable 5m</t>
  </si>
  <si>
    <t>P2022</t>
  </si>
  <si>
    <t>Laptop Backpack 25L</t>
  </si>
  <si>
    <t>Bags</t>
  </si>
  <si>
    <t>CarryPro</t>
  </si>
  <si>
    <t>P2023</t>
  </si>
  <si>
    <t>Document Shredder S12</t>
  </si>
  <si>
    <t>Office Machines</t>
  </si>
  <si>
    <t>SecureCut</t>
  </si>
  <si>
    <t>P2024</t>
  </si>
  <si>
    <t>Barcode Scanner USB</t>
  </si>
  <si>
    <t>Retail Equipment</t>
  </si>
  <si>
    <t>ScanFast</t>
  </si>
  <si>
    <t>P2025</t>
  </si>
  <si>
    <t>Thermal Receipt Printer</t>
  </si>
  <si>
    <t>P2026</t>
  </si>
  <si>
    <t>HDMI Cable 2m</t>
  </si>
  <si>
    <t>P2027</t>
  </si>
  <si>
    <t>Wireless Presenter</t>
  </si>
  <si>
    <t>P2028</t>
  </si>
  <si>
    <t>Conference Microphone</t>
  </si>
  <si>
    <t>P2029</t>
  </si>
  <si>
    <t>Surge Protector 6 Socket</t>
  </si>
  <si>
    <t>P2030</t>
  </si>
  <si>
    <t>Whiteboard 4x3 ft</t>
  </si>
  <si>
    <t>BoardMate</t>
  </si>
  <si>
    <t>Order ID</t>
  </si>
  <si>
    <t>Order Date</t>
  </si>
  <si>
    <t>Unit Price</t>
  </si>
  <si>
    <t>Customer</t>
  </si>
  <si>
    <t>SO-260801</t>
  </si>
  <si>
    <t>Apex Consulting</t>
  </si>
  <si>
    <t>SO-260802</t>
  </si>
  <si>
    <t>BlueSky Retail</t>
  </si>
  <si>
    <t>SO-260803</t>
  </si>
  <si>
    <t>Crestline Foods</t>
  </si>
  <si>
    <t>SO-260804</t>
  </si>
  <si>
    <t>Delta Services</t>
  </si>
  <si>
    <t>SO-260805</t>
  </si>
  <si>
    <t>Evergreen Labs</t>
  </si>
  <si>
    <t>SO-260806</t>
  </si>
  <si>
    <t>Fusion Digital</t>
  </si>
  <si>
    <t>SO-260807</t>
  </si>
  <si>
    <t>Greenfield School</t>
  </si>
  <si>
    <t>SO-260808</t>
  </si>
  <si>
    <t>Horizon Traders</t>
  </si>
  <si>
    <t>SO-260809</t>
  </si>
  <si>
    <t>Indigo Stores</t>
  </si>
  <si>
    <t>SO-260810</t>
  </si>
  <si>
    <t>Jupiter Systems</t>
  </si>
  <si>
    <t>SO-260811</t>
  </si>
  <si>
    <t>Keystone Pharma</t>
  </si>
  <si>
    <t>SO-260812</t>
  </si>
  <si>
    <t>Lotus Hospitality</t>
  </si>
  <si>
    <t>SO-260813</t>
  </si>
  <si>
    <t>Metro Diagnostics</t>
  </si>
  <si>
    <t>SO-260814</t>
  </si>
  <si>
    <t>Nova Architects</t>
  </si>
  <si>
    <t>SO-260815</t>
  </si>
  <si>
    <t>Orchid Enterprises</t>
  </si>
  <si>
    <t>SO-260816</t>
  </si>
  <si>
    <t>Prime Logistics</t>
  </si>
  <si>
    <t>SO-260817</t>
  </si>
  <si>
    <t>Quantum Learning</t>
  </si>
  <si>
    <t>SO-260818</t>
  </si>
  <si>
    <t>Riverfront Mart</t>
  </si>
  <si>
    <t>SO-260819</t>
  </si>
  <si>
    <t>Summit Retail</t>
  </si>
  <si>
    <t>SO-260820</t>
  </si>
  <si>
    <t>Trinity Solutions</t>
  </si>
  <si>
    <t>Report No.</t>
  </si>
  <si>
    <t>Sub total(selling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</si>
</sst>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/mm/dd"/>
    <numFmt numFmtId="171" formatCode="[$$-1009]#,##0.00"/>
  </numFmts>
  <fonts count="8" x14ac:knownFonts="1">
    <font>
      <sz val="10"/>
      <name val="Arial"/>
    </font>
    <font>
      <sz val="10"/>
      <name val="Arial"/>
      <family val="2"/>
    </font>
    <font>
      <sz val="24"/>
      <name val="Courier New"/>
      <family val="3"/>
    </font>
    <font>
      <sz val="10"/>
      <name val="Courier New"/>
      <family val="3"/>
    </font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rgb="FF0070C0"/>
      </top>
      <bottom style="double">
        <color rgb="FF0070C0"/>
      </bottom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0" fontId="2" fillId="0" borderId="1" applyProtection="0">
      <alignment vertical="center"/>
    </xf>
    <xf numFmtId="0" fontId="3" fillId="0" borderId="1" applyFill="0" applyBorder="0" applyProtection="0">
      <alignment horizontal="left" vertical="center"/>
    </xf>
    <xf numFmtId="0" fontId="1" fillId="0" borderId="0"/>
  </cellStyleXfs>
  <cellXfs count="18">
    <xf numFmtId="0" fontId="0" fillId="0" borderId="0" xfId="0"/>
    <xf numFmtId="0" fontId="5" fillId="3" borderId="0" xfId="0" applyFont="1" applyFill="1"/>
    <xf numFmtId="0" fontId="6" fillId="4" borderId="0" xfId="0" applyFont="1" applyFill="1"/>
    <xf numFmtId="0" fontId="6" fillId="2" borderId="0" xfId="0" applyFont="1" applyFill="1"/>
    <xf numFmtId="168" fontId="4" fillId="4" borderId="0" xfId="0" applyNumberFormat="1" applyFont="1" applyFill="1" applyAlignment="1">
      <alignment horizontal="center"/>
    </xf>
    <xf numFmtId="0" fontId="4" fillId="4" borderId="0" xfId="0" applyNumberFormat="1" applyFont="1" applyFill="1" applyAlignment="1">
      <alignment horizontal="left"/>
    </xf>
    <xf numFmtId="3" fontId="4" fillId="4" borderId="0" xfId="0" applyNumberFormat="1" applyFont="1" applyFill="1" applyAlignment="1">
      <alignment horizontal="right"/>
    </xf>
    <xf numFmtId="168" fontId="4" fillId="2" borderId="0" xfId="0" applyNumberFormat="1" applyFont="1" applyFill="1" applyAlignment="1">
      <alignment horizontal="center"/>
    </xf>
    <xf numFmtId="0" fontId="4" fillId="2" borderId="0" xfId="0" applyNumberFormat="1" applyFont="1" applyFill="1" applyAlignment="1">
      <alignment horizontal="left"/>
    </xf>
    <xf numFmtId="3" fontId="4" fillId="2" borderId="0" xfId="0" applyNumberFormat="1" applyFont="1" applyFill="1" applyAlignment="1">
      <alignment horizontal="right"/>
    </xf>
    <xf numFmtId="0" fontId="0" fillId="0" borderId="3" xfId="0" applyBorder="1"/>
    <xf numFmtId="0" fontId="7" fillId="0" borderId="4" xfId="0" applyFont="1" applyBorder="1"/>
    <xf numFmtId="171" fontId="0" fillId="0" borderId="0" xfId="0" applyNumberFormat="1"/>
    <xf numFmtId="171" fontId="0" fillId="0" borderId="3" xfId="0" applyNumberFormat="1" applyBorder="1"/>
    <xf numFmtId="171" fontId="7" fillId="0" borderId="4" xfId="0" applyNumberFormat="1" applyFont="1" applyBorder="1"/>
    <xf numFmtId="0" fontId="7" fillId="0" borderId="2" xfId="0" applyFont="1" applyBorder="1" applyAlignment="1">
      <alignment horizontal="center" vertical="center"/>
    </xf>
    <xf numFmtId="0" fontId="0" fillId="0" borderId="0" xfId="0" applyBorder="1"/>
    <xf numFmtId="0" fontId="7" fillId="0" borderId="5" xfId="0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3000000}"/>
    <cellStyle name="Released" xfId="1" xr:uid="{00000000-0005-0000-0000-000006000000}"/>
    <cellStyle name="Released-Short" xfId="2" xr:uid="{00000000-0005-0000-0000-000007000000}"/>
  </cellStyles>
  <dxfs count="10">
    <dxf>
      <font>
        <b/>
        <color rgb="FFFFFFFF"/>
      </font>
      <fill>
        <patternFill patternType="solid">
          <fgColor indexed="64"/>
          <bgColor rgb="FF4472C4"/>
        </patternFill>
      </fill>
    </dxf>
    <dxf>
      <font>
        <b/>
        <color rgb="FFFFFFFF"/>
      </font>
      <fill>
        <patternFill patternType="solid">
          <fgColor indexed="64"/>
          <bgColor rgb="FF4472C4"/>
        </patternFill>
      </fill>
    </dxf>
    <dxf>
      <font>
        <b/>
        <color rgb="FFFFFFFF"/>
      </font>
      <fill>
        <patternFill patternType="solid">
          <fgColor indexed="64"/>
          <bgColor rgb="FF4472C4"/>
        </patternFill>
      </fill>
    </dxf>
    <dxf>
      <font>
        <b val="0"/>
        <i val="0"/>
        <strike val="0"/>
        <u val="none"/>
        <sz val="11"/>
        <color rgb="FF0070C0"/>
        <name val="Calibri"/>
      </font>
      <numFmt numFmtId="0" formatCode="General"/>
      <fill>
        <patternFill patternType="solid">
          <fgColor indexed="64"/>
          <bgColor theme="0"/>
        </patternFill>
      </fill>
      <alignment horizontal="left"/>
    </dxf>
    <dxf>
      <font>
        <b val="0"/>
        <i val="0"/>
        <strike val="0"/>
        <u val="none"/>
        <sz val="11"/>
        <color rgb="FF0070C0"/>
        <name val="Calibri"/>
      </font>
      <numFmt numFmtId="168" formatCode="yyyy/mm/dd"/>
      <fill>
        <patternFill patternType="solid">
          <fgColor indexed="64"/>
          <bgColor theme="0"/>
        </patternFill>
      </fill>
      <alignment horizontal="center"/>
    </dxf>
    <dxf>
      <font>
        <b val="0"/>
        <i val="0"/>
        <strike val="0"/>
        <u val="none"/>
        <sz val="11"/>
        <color rgb="FF0070C0"/>
        <name val="Calibri"/>
      </font>
      <numFmt numFmtId="3" formatCode="#,##0"/>
      <fill>
        <patternFill patternType="solid">
          <fgColor indexed="64"/>
          <bgColor rgb="FFFFF2CC"/>
        </patternFill>
      </fill>
      <alignment horizontal="right"/>
    </dxf>
    <dxf>
      <font>
        <b val="0"/>
        <i val="0"/>
        <strike val="0"/>
        <u val="none"/>
        <sz val="11"/>
        <color rgb="FF0070C0"/>
        <name val="Calibri"/>
      </font>
      <numFmt numFmtId="0" formatCode="General"/>
      <fill>
        <patternFill patternType="solid">
          <fgColor indexed="64"/>
          <bgColor rgb="FFFFF2CC"/>
        </patternFill>
      </fill>
      <alignment horizontal="left"/>
    </dxf>
    <dxf>
      <font>
        <b val="0"/>
        <i val="0"/>
        <strike val="0"/>
        <u val="none"/>
        <sz val="11"/>
        <color rgb="FF0070C0"/>
        <name val="Calibri"/>
      </font>
      <numFmt numFmtId="0" formatCode="General"/>
      <fill>
        <patternFill patternType="solid">
          <fgColor indexed="64"/>
          <bgColor rgb="FFFFF2CC"/>
        </patternFill>
      </fill>
      <alignment horizontal="left"/>
    </dxf>
    <dxf>
      <font>
        <b val="0"/>
        <i val="0"/>
        <strike val="0"/>
        <u val="none"/>
        <sz val="11"/>
        <color rgb="FF0070C0"/>
        <name val="Calibri"/>
      </font>
      <numFmt numFmtId="0" formatCode="General"/>
      <fill>
        <patternFill patternType="solid">
          <fgColor indexed="64"/>
          <bgColor rgb="FFFFF2CC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numFmt numFmtId="19" formatCode="dd/mm/yyyy"/>
      <fill>
        <patternFill patternType="solid">
          <fgColor indexed="64"/>
          <bgColor rgb="FFFFFFFF"/>
        </patternFill>
      </fill>
      <alignment horizontal="center"/>
    </dxf>
  </dxfs>
  <tableStyles count="0" defaultTableStyle="TableStyleMedium9" defaultPivotStyle="PivotStyleLight16"/>
  <colors>
    <mruColors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704850</xdr:colOff>
      <xdr:row>23</xdr:row>
      <xdr:rowOff>104775</xdr:rowOff>
    </xdr:from>
    <xdr:to>
      <xdr:col>11</xdr:col>
      <xdr:colOff>1152525</xdr:colOff>
      <xdr:row>28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9D2DF3A-303F-579A-BCEF-F8D5A4ECAEB6}"/>
            </a:ext>
          </a:extLst>
        </xdr:cNvPr>
        <xdr:cNvSpPr/>
      </xdr:nvSpPr>
      <xdr:spPr>
        <a:xfrm>
          <a:off x="11144250" y="3848100"/>
          <a:ext cx="1895475" cy="7429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 have used sumif</a:t>
          </a:r>
          <a:r>
            <a:rPr lang="en-IN" sz="1100" baseline="0"/>
            <a:t> formula to find subtotal for all catagories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3</xdr:row>
      <xdr:rowOff>142875</xdr:rowOff>
    </xdr:from>
    <xdr:to>
      <xdr:col>13</xdr:col>
      <xdr:colOff>200025</xdr:colOff>
      <xdr:row>8</xdr:row>
      <xdr:rowOff>38100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0AD31AA1-CA8E-9625-4720-EAD9359D5668}"/>
            </a:ext>
          </a:extLst>
        </xdr:cNvPr>
        <xdr:cNvSpPr/>
      </xdr:nvSpPr>
      <xdr:spPr>
        <a:xfrm>
          <a:off x="10982325" y="685800"/>
          <a:ext cx="2438400" cy="84772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i="0" cap="none" spc="0">
              <a:ln>
                <a:noFill/>
              </a:ln>
              <a:solidFill>
                <a:schemeClr val="tx1"/>
              </a:solidFill>
              <a:effectLst/>
            </a:rPr>
            <a:t>using</a:t>
          </a:r>
          <a:r>
            <a:rPr lang="en-IN" sz="1100" b="0" i="0" cap="none" spc="0" baseline="0">
              <a:ln>
                <a:noFill/>
              </a:ln>
              <a:solidFill>
                <a:schemeClr val="tx1"/>
              </a:solidFill>
              <a:effectLst/>
            </a:rPr>
            <a:t> xlookup to find supplier from the product masster table also catagory from product master </a:t>
          </a:r>
          <a:endParaRPr lang="en-IN" sz="1100" b="0" i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3</xdr:row>
      <xdr:rowOff>142875</xdr:rowOff>
    </xdr:from>
    <xdr:to>
      <xdr:col>7</xdr:col>
      <xdr:colOff>381000</xdr:colOff>
      <xdr:row>8</xdr:row>
      <xdr:rowOff>38100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F30CD7E1-AFCB-28C2-64A0-D8134BFA8ED1}"/>
            </a:ext>
          </a:extLst>
        </xdr:cNvPr>
        <xdr:cNvCxnSpPr/>
      </xdr:nvCxnSpPr>
      <xdr:spPr>
        <a:xfrm>
          <a:off x="5781675" y="685800"/>
          <a:ext cx="1609725" cy="847725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57149</xdr:colOff>
      <xdr:row>5</xdr:row>
      <xdr:rowOff>85724</xdr:rowOff>
    </xdr:from>
    <xdr:to>
      <xdr:col>10</xdr:col>
      <xdr:colOff>542924</xdr:colOff>
      <xdr:row>11</xdr:row>
      <xdr:rowOff>152399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58D8761-C4EA-760D-E687-CBD713F3209D}"/>
            </a:ext>
          </a:extLst>
        </xdr:cNvPr>
        <xdr:cNvSpPr/>
      </xdr:nvSpPr>
      <xdr:spPr>
        <a:xfrm>
          <a:off x="7600949" y="1009649"/>
          <a:ext cx="1704975" cy="120967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Index</a:t>
          </a:r>
          <a:r>
            <a:rPr lang="en-IN" sz="1100" baseline="0"/>
            <a:t> and match function to find the position of order id using match and than the customer name using index</a:t>
          </a:r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8CF9385-51E4-4664-AFAF-EE55F29F6D6B}" name="tblProductMaster" displayName="tblProductMaster" ref="A1:I31" totalsRowShown="0" headerRowDxfId="2">
  <autoFilter ref="A1:I31" xr:uid="{38CF9385-51E4-4664-AFAF-EE55F29F6D6B}"/>
  <tableColumns count="9">
    <tableColumn id="1" xr3:uid="{410E9715-A383-4802-88B9-0AE77FD638A5}" name="Product Code"/>
    <tableColumn id="2" xr3:uid="{05190B74-FD91-4868-9D94-5E1ED5B6264F}" name="Product Name"/>
    <tableColumn id="3" xr3:uid="{58125553-C6F7-417D-8E42-C2F0280C6B96}" name="Category"/>
    <tableColumn id="4" xr3:uid="{F0091C3F-63AB-42EE-9547-4DC5673BADC6}" name="Brand"/>
    <tableColumn id="5" xr3:uid="{23862598-6081-41DC-B7AF-EB492C31880E}" name="Supplier"/>
    <tableColumn id="6" xr3:uid="{853BD862-AFB3-40DB-ACD9-BB2C6F70D897}" name="Unit Cost"/>
    <tableColumn id="7" xr3:uid="{8083B712-94D4-454D-975E-9764EA6470CE}" name="Selling Price"/>
    <tableColumn id="8" xr3:uid="{8A46821C-2784-4CA5-831E-DE349208F902}" name="Stock Qty"/>
    <tableColumn id="9" xr3:uid="{E5BEAFDD-7F45-476D-B95A-81A141BAB00B}" name="Reorder 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7C68E93-7DB4-4660-A4B6-0A32A6269D64}" name="tblSalesOrders" displayName="tblSalesOrders" ref="A1:I21" totalsRowShown="0" headerRowDxfId="1">
  <autoFilter ref="A1:I21" xr:uid="{67C68E93-7DB4-4660-A4B6-0A32A6269D64}"/>
  <tableColumns count="9">
    <tableColumn id="1" xr3:uid="{C10B11EF-E1C0-4182-8066-E95D5B32FE86}" name="Order ID"/>
    <tableColumn id="2" xr3:uid="{80152F3A-8341-46CE-8A87-0099643296C8}" name="Order Date" dataDxfId="9"/>
    <tableColumn id="3" xr3:uid="{5D9A1CBD-B8F7-4FCA-AC77-52CB2DF15CA9}" name="Customer"/>
    <tableColumn id="4" xr3:uid="{62ED51CE-0CBD-4F39-91DE-37EF5544B142}" name="Product Code"/>
    <tableColumn id="5" xr3:uid="{5C5260E3-F824-4AFF-9BC8-757685A4DCFB}" name="Product Name" dataDxfId="8">
      <calculatedColumnFormula>_xlfn.XLOOKUP(tblSalesOrders[[#This Row],[Product Code]],tblProductMaster[Product Code],tblProductMaster[Product Name],"unknown")</calculatedColumnFormula>
    </tableColumn>
    <tableColumn id="6" xr3:uid="{FB7D9D58-28AC-4D7F-A77C-CCDC2D05FD9E}" name="Category" dataDxfId="7">
      <calculatedColumnFormula>VLOOKUP(tblSalesOrders[[#This Row],[Product Code]],tblProductMaster[],3,FALSE)</calculatedColumnFormula>
    </tableColumn>
    <tableColumn id="7" xr3:uid="{673D46C2-AF8E-45BF-8767-AB6DA5770715}" name="Supplier" dataDxfId="6">
      <calculatedColumnFormula>_xlfn.XLOOKUP(tblSalesOrders[[#This Row],[Product Code]],tblProductMaster[Product Code],tblProductMaster[Supplier],"unknown",0)</calculatedColumnFormula>
    </tableColumn>
    <tableColumn id="8" xr3:uid="{35B0537B-B285-47BF-B33F-5DB09ED40026}" name="Qty"/>
    <tableColumn id="9" xr3:uid="{CB926057-F835-4DEF-9F88-25AC5090624D}" name="Unit Price" dataDxfId="5">
      <calculatedColumnFormula>_xlfn.XLOOKUP(tblSalesOrders[[#This Row],[Product Code]],tblProductMaster[Product Code],tblProductMaster[Unit Cost],0,0)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91B78DF-1E31-44C8-9277-2398EAE3D79C}" name="tblIndexMatchReport" displayName="tblIndexMatchReport" ref="A1:D21" totalsRowShown="0" headerRowDxfId="0">
  <autoFilter ref="A1:D21" xr:uid="{491B78DF-1E31-44C8-9277-2398EAE3D79C}"/>
  <tableColumns count="4">
    <tableColumn id="1" xr3:uid="{7F8248ED-0617-452F-A986-65DEC9541AB3}" name="Report No."/>
    <tableColumn id="2" xr3:uid="{80072589-4AE6-4748-A150-A57EAB33425E}" name="Order ID"/>
    <tableColumn id="3" xr3:uid="{B2ED48ED-4D93-4C71-99DD-0A58805C513B}" name="Order Date" dataDxfId="4">
      <calculatedColumnFormula>INDEX(tblSalesOrders[],MATCH(tblIndexMatchReport[[#This Row],[Order ID]],tblSalesOrders[Order ID],0),2)</calculatedColumnFormula>
    </tableColumn>
    <tableColumn id="4" xr3:uid="{53949527-6426-4E81-B238-E07003723961}" name="Customer" dataDxfId="3">
      <calculatedColumnFormula>INDEX(tblSalesOrders[],MATCH(tblIndexMatchReport[[#This Row],[Order ID]],tblSalesOrders[Order ID],0),3)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8E68F6-4054-4B72-8F56-E438146FF011}">
  <we:reference id="wa200010215" version="2.0.0.0" store="en-GB" storeType="OMEX"/>
  <we:alternateReferences>
    <we:reference id="WA200010215" version="2.0.0.0" store="" storeType="OMEX"/>
  </we:alternateReferences>
  <we:properties>
    <we:property name="bps.codex_control.document_id" value="&quot;e9a85b49-0c36-4372-85cb-b7b8781993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CCB3-E3EB-4537-8DA8-F97F7FAA0651}">
  <dimension ref="A1:L31"/>
  <sheetViews>
    <sheetView showGridLines="0" topLeftCell="B1" workbookViewId="0">
      <pane ySplit="1" topLeftCell="A2" activePane="bottomLeft" state="frozen"/>
      <selection activeCell="B1" sqref="B1"/>
      <selection pane="bottomLeft" activeCell="K23" sqref="K23"/>
    </sheetView>
  </sheetViews>
  <sheetFormatPr defaultRowHeight="12.75" x14ac:dyDescent="0.2"/>
  <cols>
    <col min="1" max="1" width="15.7109375" bestFit="1" customWidth="1"/>
    <col min="2" max="2" width="26.28515625" bestFit="1" customWidth="1"/>
    <col min="3" max="3" width="20.140625" bestFit="1" customWidth="1"/>
    <col min="4" max="4" width="10.5703125" bestFit="1" customWidth="1"/>
    <col min="5" max="5" width="20.28515625" bestFit="1" customWidth="1"/>
    <col min="6" max="6" width="11.28515625" bestFit="1" customWidth="1"/>
    <col min="7" max="7" width="15" bestFit="1" customWidth="1"/>
    <col min="8" max="8" width="11.85546875" bestFit="1" customWidth="1"/>
    <col min="9" max="9" width="16.28515625" bestFit="1" customWidth="1"/>
    <col min="11" max="11" width="21.7109375" customWidth="1"/>
    <col min="12" max="12" width="19.7109375" bestFit="1" customWidth="1"/>
  </cols>
  <sheetData>
    <row r="1" spans="1:12" x14ac:dyDescent="0.2">
      <c r="A1" s="1" t="s">
        <v>3</v>
      </c>
      <c r="B1" s="1" t="s">
        <v>4</v>
      </c>
      <c r="C1" s="1" t="s">
        <v>0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12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620</v>
      </c>
      <c r="G2" s="2">
        <v>999</v>
      </c>
      <c r="H2" s="2">
        <v>145</v>
      </c>
      <c r="I2" s="2">
        <v>40</v>
      </c>
    </row>
    <row r="3" spans="1:12" x14ac:dyDescent="0.2">
      <c r="A3" s="3" t="s">
        <v>16</v>
      </c>
      <c r="B3" s="3" t="s">
        <v>17</v>
      </c>
      <c r="C3" s="3" t="s">
        <v>13</v>
      </c>
      <c r="D3" s="3" t="s">
        <v>18</v>
      </c>
      <c r="E3" s="3" t="s">
        <v>19</v>
      </c>
      <c r="F3" s="3">
        <v>1850</v>
      </c>
      <c r="G3" s="3">
        <v>2799</v>
      </c>
      <c r="H3" s="3">
        <v>72</v>
      </c>
      <c r="I3" s="3">
        <v>25</v>
      </c>
    </row>
    <row r="4" spans="1:12" x14ac:dyDescent="0.2">
      <c r="A4" s="2" t="s">
        <v>20</v>
      </c>
      <c r="B4" s="2" t="s">
        <v>21</v>
      </c>
      <c r="C4" s="2" t="s">
        <v>13</v>
      </c>
      <c r="D4" s="2" t="s">
        <v>22</v>
      </c>
      <c r="E4" s="2" t="s">
        <v>15</v>
      </c>
      <c r="F4" s="2">
        <v>1250</v>
      </c>
      <c r="G4" s="2">
        <v>1899</v>
      </c>
      <c r="H4" s="2">
        <v>96</v>
      </c>
      <c r="I4" s="2">
        <v>30</v>
      </c>
      <c r="K4" s="16"/>
    </row>
    <row r="5" spans="1:12" x14ac:dyDescent="0.2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>
        <v>10200</v>
      </c>
      <c r="G5" s="3">
        <v>13999</v>
      </c>
      <c r="H5" s="3">
        <v>38</v>
      </c>
      <c r="I5" s="3">
        <v>12</v>
      </c>
      <c r="K5" s="17" t="s">
        <v>0</v>
      </c>
      <c r="L5" s="17" t="s">
        <v>157</v>
      </c>
    </row>
    <row r="6" spans="1:12" x14ac:dyDescent="0.2">
      <c r="A6" s="2" t="s">
        <v>28</v>
      </c>
      <c r="B6" s="2" t="s">
        <v>29</v>
      </c>
      <c r="C6" s="2" t="s">
        <v>30</v>
      </c>
      <c r="D6" s="2" t="s">
        <v>31</v>
      </c>
      <c r="E6" s="2" t="s">
        <v>19</v>
      </c>
      <c r="F6" s="2">
        <v>780</v>
      </c>
      <c r="G6" s="2">
        <v>1299</v>
      </c>
      <c r="H6" s="2">
        <v>110</v>
      </c>
      <c r="I6" s="2">
        <v>35</v>
      </c>
      <c r="K6" s="15"/>
      <c r="L6" s="15"/>
    </row>
    <row r="7" spans="1:12" x14ac:dyDescent="0.2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>
        <v>4200</v>
      </c>
      <c r="G7" s="3">
        <v>6499</v>
      </c>
      <c r="H7" s="3">
        <v>54</v>
      </c>
      <c r="I7" s="3">
        <v>18</v>
      </c>
      <c r="K7" t="str" cm="1">
        <f t="array" ref="K7:K19">_xlfn.UNIQUE(tblProductMaster[Category],FALSE)</f>
        <v>Computer Accessories</v>
      </c>
      <c r="L7" s="12">
        <f>SUMIF(tblProductMaster[Category],K7,tblProductMaster[Selling Price])</f>
        <v>8645</v>
      </c>
    </row>
    <row r="8" spans="1:12" x14ac:dyDescent="0.2">
      <c r="A8" s="2" t="s">
        <v>37</v>
      </c>
      <c r="B8" s="2" t="s">
        <v>38</v>
      </c>
      <c r="C8" s="2" t="s">
        <v>34</v>
      </c>
      <c r="D8" s="2" t="s">
        <v>35</v>
      </c>
      <c r="E8" s="2" t="s">
        <v>36</v>
      </c>
      <c r="F8" s="2">
        <v>1350</v>
      </c>
      <c r="G8" s="2">
        <v>2199</v>
      </c>
      <c r="H8" s="2">
        <v>83</v>
      </c>
      <c r="I8" s="2">
        <v>25</v>
      </c>
      <c r="K8" t="str">
        <v>Monitors</v>
      </c>
      <c r="L8" s="12">
        <f>SUMIF(tblProductMaster[Category],K8,tblProductMaster[Selling Price])</f>
        <v>13999</v>
      </c>
    </row>
    <row r="9" spans="1:12" x14ac:dyDescent="0.2">
      <c r="A9" s="3" t="s">
        <v>39</v>
      </c>
      <c r="B9" s="3" t="s">
        <v>40</v>
      </c>
      <c r="C9" s="3" t="s">
        <v>13</v>
      </c>
      <c r="D9" s="3" t="s">
        <v>41</v>
      </c>
      <c r="E9" s="3" t="s">
        <v>27</v>
      </c>
      <c r="F9" s="3">
        <v>1600</v>
      </c>
      <c r="G9" s="3">
        <v>2499</v>
      </c>
      <c r="H9" s="3">
        <v>67</v>
      </c>
      <c r="I9" s="3">
        <v>20</v>
      </c>
      <c r="K9" t="str">
        <v>Office Accessories</v>
      </c>
      <c r="L9" s="12">
        <f>SUMIF(tblProductMaster[Category],K9,tblProductMaster[Selling Price])</f>
        <v>7196</v>
      </c>
    </row>
    <row r="10" spans="1:12" x14ac:dyDescent="0.2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>
        <v>5100</v>
      </c>
      <c r="G10" s="2">
        <v>6999</v>
      </c>
      <c r="H10" s="2">
        <v>44</v>
      </c>
      <c r="I10" s="2">
        <v>15</v>
      </c>
      <c r="K10" t="str">
        <v>Audio</v>
      </c>
      <c r="L10" s="12">
        <f>SUMIF(tblProductMaster[Category],K10,tblProductMaster[Selling Price])</f>
        <v>13897</v>
      </c>
    </row>
    <row r="11" spans="1:12" x14ac:dyDescent="0.2">
      <c r="A11" s="3" t="s">
        <v>47</v>
      </c>
      <c r="B11" s="3" t="s">
        <v>48</v>
      </c>
      <c r="C11" s="3" t="s">
        <v>44</v>
      </c>
      <c r="D11" s="3" t="s">
        <v>45</v>
      </c>
      <c r="E11" s="3" t="s">
        <v>46</v>
      </c>
      <c r="F11" s="3">
        <v>3900</v>
      </c>
      <c r="G11" s="3">
        <v>5299</v>
      </c>
      <c r="H11" s="3">
        <v>51</v>
      </c>
      <c r="I11" s="3">
        <v>18</v>
      </c>
      <c r="K11" t="str">
        <v>Storage</v>
      </c>
      <c r="L11" s="12">
        <f>SUMIF(tblProductMaster[Category],K11,tblProductMaster[Selling Price])</f>
        <v>12298</v>
      </c>
    </row>
    <row r="12" spans="1:12" x14ac:dyDescent="0.2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>
        <v>12800</v>
      </c>
      <c r="G12" s="2">
        <v>16999</v>
      </c>
      <c r="H12" s="2">
        <v>22</v>
      </c>
      <c r="I12" s="2">
        <v>8</v>
      </c>
      <c r="K12" t="str">
        <v>Printers</v>
      </c>
      <c r="L12" s="12">
        <f>SUMIF(tblProductMaster[Category],K12,tblProductMaster[Selling Price])</f>
        <v>27498</v>
      </c>
    </row>
    <row r="13" spans="1:12" x14ac:dyDescent="0.2">
      <c r="A13" s="3" t="s">
        <v>54</v>
      </c>
      <c r="B13" s="3" t="s">
        <v>55</v>
      </c>
      <c r="C13" s="3" t="s">
        <v>51</v>
      </c>
      <c r="D13" s="3" t="s">
        <v>52</v>
      </c>
      <c r="E13" s="3" t="s">
        <v>53</v>
      </c>
      <c r="F13" s="3">
        <v>7600</v>
      </c>
      <c r="G13" s="3">
        <v>10499</v>
      </c>
      <c r="H13" s="3">
        <v>29</v>
      </c>
      <c r="I13" s="3">
        <v>10</v>
      </c>
      <c r="K13" t="str">
        <v>Stationery</v>
      </c>
      <c r="L13" s="12">
        <f>SUMIF(tblProductMaster[Category],K13,tblProductMaster[Selling Price])</f>
        <v>707</v>
      </c>
    </row>
    <row r="14" spans="1:12" x14ac:dyDescent="0.2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>
        <v>215</v>
      </c>
      <c r="G14" s="2">
        <v>349</v>
      </c>
      <c r="H14" s="2">
        <v>320</v>
      </c>
      <c r="I14" s="2">
        <v>100</v>
      </c>
      <c r="K14" t="str">
        <v>Furniture</v>
      </c>
      <c r="L14" s="12">
        <f>SUMIF(tblProductMaster[Category],K14,tblProductMaster[Selling Price])</f>
        <v>29498</v>
      </c>
    </row>
    <row r="15" spans="1:12" x14ac:dyDescent="0.2">
      <c r="A15" s="3" t="s">
        <v>61</v>
      </c>
      <c r="B15" s="3" t="s">
        <v>62</v>
      </c>
      <c r="C15" s="3" t="s">
        <v>58</v>
      </c>
      <c r="D15" s="3" t="s">
        <v>63</v>
      </c>
      <c r="E15" s="3" t="s">
        <v>60</v>
      </c>
      <c r="F15" s="3">
        <v>120</v>
      </c>
      <c r="G15" s="3">
        <v>199</v>
      </c>
      <c r="H15" s="3">
        <v>260</v>
      </c>
      <c r="I15" s="3">
        <v>80</v>
      </c>
      <c r="K15" t="str">
        <v>Electrical</v>
      </c>
      <c r="L15" s="12">
        <f>SUMIF(tblProductMaster[Category],K15,tblProductMaster[Selling Price])</f>
        <v>2398</v>
      </c>
    </row>
    <row r="16" spans="1:12" x14ac:dyDescent="0.2">
      <c r="A16" s="2" t="s">
        <v>64</v>
      </c>
      <c r="B16" s="2" t="s">
        <v>65</v>
      </c>
      <c r="C16" s="2" t="s">
        <v>58</v>
      </c>
      <c r="D16" s="2" t="s">
        <v>66</v>
      </c>
      <c r="E16" s="2" t="s">
        <v>60</v>
      </c>
      <c r="F16" s="2">
        <v>95</v>
      </c>
      <c r="G16" s="2">
        <v>159</v>
      </c>
      <c r="H16" s="2">
        <v>185</v>
      </c>
      <c r="I16" s="2">
        <v>60</v>
      </c>
      <c r="K16" t="str">
        <v>Networking</v>
      </c>
      <c r="L16" s="12">
        <f>SUMIF(tblProductMaster[Category],K16,tblProductMaster[Selling Price])</f>
        <v>4548</v>
      </c>
    </row>
    <row r="17" spans="1:12" x14ac:dyDescent="0.2">
      <c r="A17" s="3" t="s">
        <v>67</v>
      </c>
      <c r="B17" s="3" t="s">
        <v>68</v>
      </c>
      <c r="C17" s="3" t="s">
        <v>69</v>
      </c>
      <c r="D17" s="3" t="s">
        <v>70</v>
      </c>
      <c r="E17" s="3" t="s">
        <v>71</v>
      </c>
      <c r="F17" s="3">
        <v>6800</v>
      </c>
      <c r="G17" s="3">
        <v>9499</v>
      </c>
      <c r="H17" s="3">
        <v>31</v>
      </c>
      <c r="I17" s="3">
        <v>10</v>
      </c>
      <c r="K17" t="str">
        <v>Bags</v>
      </c>
      <c r="L17" s="12">
        <f>SUMIF(tblProductMaster[Category],K17,tblProductMaster[Selling Price])</f>
        <v>1799</v>
      </c>
    </row>
    <row r="18" spans="1:12" x14ac:dyDescent="0.2">
      <c r="A18" s="2" t="s">
        <v>72</v>
      </c>
      <c r="B18" s="2" t="s">
        <v>73</v>
      </c>
      <c r="C18" s="2" t="s">
        <v>69</v>
      </c>
      <c r="D18" s="2" t="s">
        <v>31</v>
      </c>
      <c r="E18" s="2" t="s">
        <v>71</v>
      </c>
      <c r="F18" s="2">
        <v>14500</v>
      </c>
      <c r="G18" s="2">
        <v>19999</v>
      </c>
      <c r="H18" s="2">
        <v>17</v>
      </c>
      <c r="I18" s="2">
        <v>6</v>
      </c>
      <c r="K18" t="str">
        <v>Office Machines</v>
      </c>
      <c r="L18" s="12">
        <f>SUMIF(tblProductMaster[Category],K18,tblProductMaster[Selling Price])</f>
        <v>5999</v>
      </c>
    </row>
    <row r="19" spans="1:12" x14ac:dyDescent="0.2">
      <c r="A19" s="3" t="s">
        <v>74</v>
      </c>
      <c r="B19" s="3" t="s">
        <v>75</v>
      </c>
      <c r="C19" s="3" t="s">
        <v>30</v>
      </c>
      <c r="D19" s="3" t="s">
        <v>76</v>
      </c>
      <c r="E19" s="3" t="s">
        <v>19</v>
      </c>
      <c r="F19" s="3">
        <v>720</v>
      </c>
      <c r="G19" s="3">
        <v>1199</v>
      </c>
      <c r="H19" s="3">
        <v>92</v>
      </c>
      <c r="I19" s="3">
        <v>25</v>
      </c>
      <c r="K19" s="10" t="str">
        <v>Retail Equipment</v>
      </c>
      <c r="L19" s="13">
        <f>SUMIF(tblProductMaster[Category],K19,tblProductMaster[Selling Price])</f>
        <v>11998</v>
      </c>
    </row>
    <row r="20" spans="1:12" ht="13.5" thickBot="1" x14ac:dyDescent="0.25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27</v>
      </c>
      <c r="F20" s="2">
        <v>890</v>
      </c>
      <c r="G20" s="2">
        <v>1399</v>
      </c>
      <c r="H20" s="2">
        <v>76</v>
      </c>
      <c r="I20" s="2">
        <v>25</v>
      </c>
      <c r="K20" s="11" t="s">
        <v>2</v>
      </c>
      <c r="L20" s="14">
        <f>SUM(L7:L19)</f>
        <v>140480</v>
      </c>
    </row>
    <row r="21" spans="1:12" ht="13.5" thickTop="1" x14ac:dyDescent="0.2">
      <c r="A21" s="3" t="s">
        <v>81</v>
      </c>
      <c r="B21" s="3" t="s">
        <v>82</v>
      </c>
      <c r="C21" s="3" t="s">
        <v>83</v>
      </c>
      <c r="D21" s="3" t="s">
        <v>84</v>
      </c>
      <c r="E21" s="3" t="s">
        <v>46</v>
      </c>
      <c r="F21" s="3">
        <v>2850</v>
      </c>
      <c r="G21" s="3">
        <v>4199</v>
      </c>
      <c r="H21" s="3">
        <v>58</v>
      </c>
      <c r="I21" s="3">
        <v>20</v>
      </c>
    </row>
    <row r="22" spans="1:12" x14ac:dyDescent="0.2">
      <c r="A22" s="2" t="s">
        <v>85</v>
      </c>
      <c r="B22" s="2" t="s">
        <v>86</v>
      </c>
      <c r="C22" s="2" t="s">
        <v>83</v>
      </c>
      <c r="D22" s="2" t="s">
        <v>84</v>
      </c>
      <c r="E22" s="2" t="s">
        <v>46</v>
      </c>
      <c r="F22" s="2">
        <v>210</v>
      </c>
      <c r="G22" s="2">
        <v>349</v>
      </c>
      <c r="H22" s="2">
        <v>170</v>
      </c>
      <c r="I22" s="2">
        <v>50</v>
      </c>
    </row>
    <row r="23" spans="1:12" x14ac:dyDescent="0.2">
      <c r="A23" s="3" t="s">
        <v>87</v>
      </c>
      <c r="B23" s="3" t="s">
        <v>88</v>
      </c>
      <c r="C23" s="3" t="s">
        <v>89</v>
      </c>
      <c r="D23" s="3" t="s">
        <v>90</v>
      </c>
      <c r="E23" s="3" t="s">
        <v>15</v>
      </c>
      <c r="F23" s="3">
        <v>1050</v>
      </c>
      <c r="G23" s="3">
        <v>1799</v>
      </c>
      <c r="H23" s="3">
        <v>88</v>
      </c>
      <c r="I23" s="3">
        <v>30</v>
      </c>
    </row>
    <row r="24" spans="1:12" x14ac:dyDescent="0.2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53</v>
      </c>
      <c r="F24" s="2">
        <v>4300</v>
      </c>
      <c r="G24" s="2">
        <v>5999</v>
      </c>
      <c r="H24" s="2">
        <v>24</v>
      </c>
      <c r="I24" s="2">
        <v>8</v>
      </c>
    </row>
    <row r="25" spans="1:12" x14ac:dyDescent="0.2">
      <c r="A25" s="3" t="s">
        <v>95</v>
      </c>
      <c r="B25" s="3" t="s">
        <v>96</v>
      </c>
      <c r="C25" s="3" t="s">
        <v>97</v>
      </c>
      <c r="D25" s="3" t="s">
        <v>98</v>
      </c>
      <c r="E25" s="3" t="s">
        <v>27</v>
      </c>
      <c r="F25" s="3">
        <v>2400</v>
      </c>
      <c r="G25" s="3">
        <v>3499</v>
      </c>
      <c r="H25" s="3">
        <v>35</v>
      </c>
      <c r="I25" s="3">
        <v>12</v>
      </c>
    </row>
    <row r="26" spans="1:12" x14ac:dyDescent="0.2">
      <c r="A26" s="2" t="s">
        <v>99</v>
      </c>
      <c r="B26" s="2" t="s">
        <v>100</v>
      </c>
      <c r="C26" s="2" t="s">
        <v>97</v>
      </c>
      <c r="D26" s="2" t="s">
        <v>52</v>
      </c>
      <c r="E26" s="2" t="s">
        <v>53</v>
      </c>
      <c r="F26" s="2">
        <v>6200</v>
      </c>
      <c r="G26" s="2">
        <v>8499</v>
      </c>
      <c r="H26" s="2">
        <v>19</v>
      </c>
      <c r="I26" s="2">
        <v>7</v>
      </c>
    </row>
    <row r="27" spans="1:12" x14ac:dyDescent="0.2">
      <c r="A27" s="3" t="s">
        <v>101</v>
      </c>
      <c r="B27" s="3" t="s">
        <v>102</v>
      </c>
      <c r="C27" s="3" t="s">
        <v>13</v>
      </c>
      <c r="D27" s="3" t="s">
        <v>22</v>
      </c>
      <c r="E27" s="3" t="s">
        <v>15</v>
      </c>
      <c r="F27" s="3">
        <v>260</v>
      </c>
      <c r="G27" s="3">
        <v>449</v>
      </c>
      <c r="H27" s="3">
        <v>190</v>
      </c>
      <c r="I27" s="3">
        <v>60</v>
      </c>
    </row>
    <row r="28" spans="1:12" x14ac:dyDescent="0.2">
      <c r="A28" s="2" t="s">
        <v>103</v>
      </c>
      <c r="B28" s="2" t="s">
        <v>104</v>
      </c>
      <c r="C28" s="2" t="s">
        <v>30</v>
      </c>
      <c r="D28" s="2" t="s">
        <v>41</v>
      </c>
      <c r="E28" s="2" t="s">
        <v>19</v>
      </c>
      <c r="F28" s="2">
        <v>920</v>
      </c>
      <c r="G28" s="2">
        <v>1499</v>
      </c>
      <c r="H28" s="2">
        <v>64</v>
      </c>
      <c r="I28" s="2">
        <v>20</v>
      </c>
    </row>
    <row r="29" spans="1:12" x14ac:dyDescent="0.2">
      <c r="A29" s="3" t="s">
        <v>105</v>
      </c>
      <c r="B29" s="3" t="s">
        <v>106</v>
      </c>
      <c r="C29" s="3" t="s">
        <v>34</v>
      </c>
      <c r="D29" s="3" t="s">
        <v>35</v>
      </c>
      <c r="E29" s="3" t="s">
        <v>36</v>
      </c>
      <c r="F29" s="3">
        <v>3600</v>
      </c>
      <c r="G29" s="3">
        <v>5199</v>
      </c>
      <c r="H29" s="3">
        <v>27</v>
      </c>
      <c r="I29" s="3">
        <v>9</v>
      </c>
    </row>
    <row r="30" spans="1:12" x14ac:dyDescent="0.2">
      <c r="A30" s="2" t="s">
        <v>107</v>
      </c>
      <c r="B30" s="2" t="s">
        <v>108</v>
      </c>
      <c r="C30" s="2" t="s">
        <v>79</v>
      </c>
      <c r="D30" s="2" t="s">
        <v>80</v>
      </c>
      <c r="E30" s="2" t="s">
        <v>27</v>
      </c>
      <c r="F30" s="2">
        <v>650</v>
      </c>
      <c r="G30" s="2">
        <v>999</v>
      </c>
      <c r="H30" s="2">
        <v>101</v>
      </c>
      <c r="I30" s="2">
        <v>30</v>
      </c>
    </row>
    <row r="31" spans="1:12" x14ac:dyDescent="0.2">
      <c r="A31" s="3" t="s">
        <v>109</v>
      </c>
      <c r="B31" s="3" t="s">
        <v>110</v>
      </c>
      <c r="C31" s="3" t="s">
        <v>30</v>
      </c>
      <c r="D31" s="3" t="s">
        <v>111</v>
      </c>
      <c r="E31" s="3" t="s">
        <v>71</v>
      </c>
      <c r="F31" s="3">
        <v>2100</v>
      </c>
      <c r="G31" s="3">
        <v>3199</v>
      </c>
      <c r="H31" s="3">
        <v>33</v>
      </c>
      <c r="I31" s="3">
        <v>10</v>
      </c>
    </row>
  </sheetData>
  <mergeCells count="2">
    <mergeCell ref="K5:K6"/>
    <mergeCell ref="L5:L6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7D56-FD79-4CA2-923A-6531C4D94C1E}">
  <dimension ref="A1:I21"/>
  <sheetViews>
    <sheetView showGridLines="0" topLeftCell="B1" workbookViewId="0">
      <pane ySplit="1" topLeftCell="A2" activePane="bottomLeft" state="frozen"/>
      <selection pane="bottomLeft" activeCell="K12" sqref="K12"/>
    </sheetView>
  </sheetViews>
  <sheetFormatPr defaultRowHeight="12.75" x14ac:dyDescent="0.2"/>
  <cols>
    <col min="1" max="1" width="17.5703125" bestFit="1" customWidth="1"/>
    <col min="2" max="2" width="18" customWidth="1"/>
    <col min="3" max="3" width="16.5703125" bestFit="1" customWidth="1"/>
    <col min="4" max="4" width="15.7109375" bestFit="1" customWidth="1"/>
    <col min="5" max="5" width="27.85546875" bestFit="1" customWidth="1"/>
    <col min="6" max="6" width="20.85546875" bestFit="1" customWidth="1"/>
    <col min="7" max="7" width="21.5703125" bestFit="1" customWidth="1"/>
    <col min="8" max="8" width="6.28515625" bestFit="1" customWidth="1"/>
    <col min="9" max="9" width="12.140625" bestFit="1" customWidth="1"/>
    <col min="10" max="10" width="14.28515625" bestFit="1" customWidth="1"/>
  </cols>
  <sheetData>
    <row r="1" spans="1:9" x14ac:dyDescent="0.2">
      <c r="A1" s="1" t="s">
        <v>112</v>
      </c>
      <c r="B1" s="1" t="s">
        <v>113</v>
      </c>
      <c r="C1" s="1" t="s">
        <v>115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1</v>
      </c>
      <c r="I1" s="1" t="s">
        <v>114</v>
      </c>
    </row>
    <row r="2" spans="1:9" ht="15" x14ac:dyDescent="0.25">
      <c r="A2" s="2" t="s">
        <v>116</v>
      </c>
      <c r="B2" s="4">
        <v>46235</v>
      </c>
      <c r="C2" s="2" t="s">
        <v>117</v>
      </c>
      <c r="D2" s="2" t="s">
        <v>23</v>
      </c>
      <c r="E2" s="5" t="str">
        <f>_xlfn.XLOOKUP(tblSalesOrders[[#This Row],[Product Code]],tblProductMaster[Product Code],tblProductMaster[Product Name],"unknown")</f>
        <v>27-inch IPS Monitor</v>
      </c>
      <c r="F2" s="5" t="str">
        <f>VLOOKUP(tblSalesOrders[[#This Row],[Product Code]],tblProductMaster[],3,FALSE)</f>
        <v>Monitors</v>
      </c>
      <c r="G2" s="5" t="str">
        <f>_xlfn.XLOOKUP(tblSalesOrders[[#This Row],[Product Code]],tblProductMaster[Product Code],tblProductMaster[Supplier],"unknown",0)</f>
        <v>Metro Tech Supply</v>
      </c>
      <c r="H2" s="2">
        <v>3</v>
      </c>
      <c r="I2" s="6">
        <f>_xlfn.XLOOKUP(tblSalesOrders[[#This Row],[Product Code]],tblProductMaster[Product Code],tblProductMaster[Unit Cost],0,0)</f>
        <v>10200</v>
      </c>
    </row>
    <row r="3" spans="1:9" ht="15" x14ac:dyDescent="0.25">
      <c r="A3" s="3" t="s">
        <v>118</v>
      </c>
      <c r="B3" s="7">
        <v>46235</v>
      </c>
      <c r="C3" s="3" t="s">
        <v>119</v>
      </c>
      <c r="D3" s="3" t="s">
        <v>56</v>
      </c>
      <c r="E3" s="8" t="str">
        <f>_xlfn.XLOOKUP(tblSalesOrders[[#This Row],[Product Code]],tblProductMaster[Product Code],tblProductMaster[Product Name],"unknown")</f>
        <v>A4 Copier Paper 80 GSM</v>
      </c>
      <c r="F3" s="8" t="str">
        <f>VLOOKUP(tblSalesOrders[[#This Row],[Product Code]],tblProductMaster[],3,FALSE)</f>
        <v>Stationery</v>
      </c>
      <c r="G3" s="8" t="str">
        <f>_xlfn.XLOOKUP(tblSalesOrders[[#This Row],[Product Code]],tblProductMaster[Product Code],tblProductMaster[Supplier],"unknown",0)</f>
        <v>Classic Office Mart</v>
      </c>
      <c r="H3" s="3">
        <v>25</v>
      </c>
      <c r="I3" s="9">
        <f>_xlfn.XLOOKUP(tblSalesOrders[[#This Row],[Product Code]],tblProductMaster[Product Code],tblProductMaster[Unit Cost],0,0)</f>
        <v>215</v>
      </c>
    </row>
    <row r="4" spans="1:9" ht="15" x14ac:dyDescent="0.25">
      <c r="A4" s="2" t="s">
        <v>120</v>
      </c>
      <c r="B4" s="4">
        <v>46236</v>
      </c>
      <c r="C4" s="2" t="s">
        <v>121</v>
      </c>
      <c r="D4" s="2" t="s">
        <v>42</v>
      </c>
      <c r="E4" s="5" t="str">
        <f>_xlfn.XLOOKUP(tblSalesOrders[[#This Row],[Product Code]],tblProductMaster[Product Code],tblProductMaster[Product Name],"unknown")</f>
        <v>Portable SSD 1TB</v>
      </c>
      <c r="F4" s="5" t="str">
        <f>VLOOKUP(tblSalesOrders[[#This Row],[Product Code]],tblProductMaster[],3,FALSE)</f>
        <v>Storage</v>
      </c>
      <c r="G4" s="5" t="str">
        <f>_xlfn.XLOOKUP(tblSalesOrders[[#This Row],[Product Code]],tblProductMaster[Product Code],tblProductMaster[Supplier],"unknown",0)</f>
        <v>Digital Components Co</v>
      </c>
      <c r="H4" s="2">
        <v>4</v>
      </c>
      <c r="I4" s="6">
        <f>_xlfn.XLOOKUP(tblSalesOrders[[#This Row],[Product Code]],tblProductMaster[Product Code],tblProductMaster[Unit Cost],0,0)</f>
        <v>5100</v>
      </c>
    </row>
    <row r="5" spans="1:9" ht="15" x14ac:dyDescent="0.25">
      <c r="A5" s="3" t="s">
        <v>122</v>
      </c>
      <c r="B5" s="7">
        <v>46236</v>
      </c>
      <c r="C5" s="3" t="s">
        <v>123</v>
      </c>
      <c r="D5" s="3" t="s">
        <v>87</v>
      </c>
      <c r="E5" s="8" t="str">
        <f>_xlfn.XLOOKUP(tblSalesOrders[[#This Row],[Product Code]],tblProductMaster[Product Code],tblProductMaster[Product Name],"unknown")</f>
        <v>Laptop Backpack 25L</v>
      </c>
      <c r="F5" s="8" t="str">
        <f>VLOOKUP(tblSalesOrders[[#This Row],[Product Code]],tblProductMaster[],3,FALSE)</f>
        <v>Bags</v>
      </c>
      <c r="G5" s="8" t="str">
        <f>_xlfn.XLOOKUP(tblSalesOrders[[#This Row],[Product Code]],tblProductMaster[Product Code],tblProductMaster[Supplier],"unknown",0)</f>
        <v>Northstar Distributors</v>
      </c>
      <c r="H5" s="3">
        <v>8</v>
      </c>
      <c r="I5" s="9">
        <f>_xlfn.XLOOKUP(tblSalesOrders[[#This Row],[Product Code]],tblProductMaster[Product Code],tblProductMaster[Unit Cost],0,0)</f>
        <v>1050</v>
      </c>
    </row>
    <row r="6" spans="1:9" ht="15" x14ac:dyDescent="0.25">
      <c r="A6" s="2" t="s">
        <v>124</v>
      </c>
      <c r="B6" s="4">
        <v>46237</v>
      </c>
      <c r="C6" s="2" t="s">
        <v>125</v>
      </c>
      <c r="D6" s="2" t="s">
        <v>32</v>
      </c>
      <c r="E6" s="5" t="str">
        <f>_xlfn.XLOOKUP(tblSalesOrders[[#This Row],[Product Code]],tblProductMaster[Product Code],tblProductMaster[Product Name],"unknown")</f>
        <v>Noise Cancelling Headphones</v>
      </c>
      <c r="F6" s="5" t="str">
        <f>VLOOKUP(tblSalesOrders[[#This Row],[Product Code]],tblProductMaster[],3,FALSE)</f>
        <v>Audio</v>
      </c>
      <c r="G6" s="5" t="str">
        <f>_xlfn.XLOOKUP(tblSalesOrders[[#This Row],[Product Code]],tblProductMaster[Product Code],tblProductMaster[Supplier],"unknown",0)</f>
        <v>Sonic Trade House</v>
      </c>
      <c r="H6" s="2">
        <v>5</v>
      </c>
      <c r="I6" s="6">
        <f>_xlfn.XLOOKUP(tblSalesOrders[[#This Row],[Product Code]],tblProductMaster[Product Code],tblProductMaster[Unit Cost],0,0)</f>
        <v>4200</v>
      </c>
    </row>
    <row r="7" spans="1:9" ht="15" x14ac:dyDescent="0.25">
      <c r="A7" s="3" t="s">
        <v>126</v>
      </c>
      <c r="B7" s="7">
        <v>46238</v>
      </c>
      <c r="C7" s="3" t="s">
        <v>127</v>
      </c>
      <c r="D7" s="3" t="s">
        <v>81</v>
      </c>
      <c r="E7" s="8" t="str">
        <f>_xlfn.XLOOKUP(tblSalesOrders[[#This Row],[Product Code]],tblProductMaster[Product Code],tblProductMaster[Product Name],"unknown")</f>
        <v>Wi-Fi Router AX1800</v>
      </c>
      <c r="F7" s="8" t="str">
        <f>VLOOKUP(tblSalesOrders[[#This Row],[Product Code]],tblProductMaster[],3,FALSE)</f>
        <v>Networking</v>
      </c>
      <c r="G7" s="8" t="str">
        <f>_xlfn.XLOOKUP(tblSalesOrders[[#This Row],[Product Code]],tblProductMaster[Product Code],tblProductMaster[Supplier],"unknown",0)</f>
        <v>Digital Components Co</v>
      </c>
      <c r="H7" s="3">
        <v>6</v>
      </c>
      <c r="I7" s="9">
        <f>_xlfn.XLOOKUP(tblSalesOrders[[#This Row],[Product Code]],tblProductMaster[Product Code],tblProductMaster[Unit Cost],0,0)</f>
        <v>2850</v>
      </c>
    </row>
    <row r="8" spans="1:9" ht="15" x14ac:dyDescent="0.25">
      <c r="A8" s="2" t="s">
        <v>128</v>
      </c>
      <c r="B8" s="4">
        <v>46238</v>
      </c>
      <c r="C8" s="2" t="s">
        <v>129</v>
      </c>
      <c r="D8" s="2" t="s">
        <v>67</v>
      </c>
      <c r="E8" s="5" t="str">
        <f>_xlfn.XLOOKUP(tblSalesOrders[[#This Row],[Product Code]],tblProductMaster[Product Code],tblProductMaster[Product Name],"unknown")</f>
        <v>Ergonomic Office Chair</v>
      </c>
      <c r="F8" s="5" t="str">
        <f>VLOOKUP(tblSalesOrders[[#This Row],[Product Code]],tblProductMaster[],3,FALSE)</f>
        <v>Furniture</v>
      </c>
      <c r="G8" s="5" t="str">
        <f>_xlfn.XLOOKUP(tblSalesOrders[[#This Row],[Product Code]],tblProductMaster[Product Code],tblProductMaster[Supplier],"unknown",0)</f>
        <v>Urban Workspace</v>
      </c>
      <c r="H8" s="2">
        <v>2</v>
      </c>
      <c r="I8" s="6">
        <f>_xlfn.XLOOKUP(tblSalesOrders[[#This Row],[Product Code]],tblProductMaster[Product Code],tblProductMaster[Unit Cost],0,0)</f>
        <v>6800</v>
      </c>
    </row>
    <row r="9" spans="1:9" ht="15" x14ac:dyDescent="0.25">
      <c r="A9" s="3" t="s">
        <v>130</v>
      </c>
      <c r="B9" s="7">
        <v>46239</v>
      </c>
      <c r="C9" s="3" t="s">
        <v>131</v>
      </c>
      <c r="D9" s="3" t="s">
        <v>11</v>
      </c>
      <c r="E9" s="8" t="str">
        <f>_xlfn.XLOOKUP(tblSalesOrders[[#This Row],[Product Code]],tblProductMaster[Product Code],tblProductMaster[Product Name],"unknown")</f>
        <v>Wireless Mouse M310</v>
      </c>
      <c r="F9" s="8" t="str">
        <f>VLOOKUP(tblSalesOrders[[#This Row],[Product Code]],tblProductMaster[],3,FALSE)</f>
        <v>Computer Accessories</v>
      </c>
      <c r="G9" s="8" t="str">
        <f>_xlfn.XLOOKUP(tblSalesOrders[[#This Row],[Product Code]],tblProductMaster[Product Code],tblProductMaster[Supplier],"unknown",0)</f>
        <v>Northstar Distributors</v>
      </c>
      <c r="H9" s="3">
        <v>15</v>
      </c>
      <c r="I9" s="9">
        <f>_xlfn.XLOOKUP(tblSalesOrders[[#This Row],[Product Code]],tblProductMaster[Product Code],tblProductMaster[Unit Cost],0,0)</f>
        <v>620</v>
      </c>
    </row>
    <row r="10" spans="1:9" ht="15" x14ac:dyDescent="0.25">
      <c r="A10" s="2" t="s">
        <v>132</v>
      </c>
      <c r="B10" s="4">
        <v>46240</v>
      </c>
      <c r="C10" s="2" t="s">
        <v>133</v>
      </c>
      <c r="D10" s="2" t="s">
        <v>99</v>
      </c>
      <c r="E10" s="5" t="str">
        <f>_xlfn.XLOOKUP(tblSalesOrders[[#This Row],[Product Code]],tblProductMaster[Product Code],tblProductMaster[Product Name],"unknown")</f>
        <v>Thermal Receipt Printer</v>
      </c>
      <c r="F10" s="5" t="str">
        <f>VLOOKUP(tblSalesOrders[[#This Row],[Product Code]],tblProductMaster[],3,FALSE)</f>
        <v>Retail Equipment</v>
      </c>
      <c r="G10" s="5" t="str">
        <f>_xlfn.XLOOKUP(tblSalesOrders[[#This Row],[Product Code]],tblProductMaster[Product Code],tblProductMaster[Supplier],"unknown",0)</f>
        <v>Office Machines India</v>
      </c>
      <c r="H10" s="2">
        <v>3</v>
      </c>
      <c r="I10" s="6">
        <f>_xlfn.XLOOKUP(tblSalesOrders[[#This Row],[Product Code]],tblProductMaster[Product Code],tblProductMaster[Unit Cost],0,0)</f>
        <v>6200</v>
      </c>
    </row>
    <row r="11" spans="1:9" ht="15" x14ac:dyDescent="0.25">
      <c r="A11" s="3" t="s">
        <v>134</v>
      </c>
      <c r="B11" s="7">
        <v>46240</v>
      </c>
      <c r="C11" s="3" t="s">
        <v>135</v>
      </c>
      <c r="D11" s="3" t="s">
        <v>74</v>
      </c>
      <c r="E11" s="8" t="str">
        <f>_xlfn.XLOOKUP(tblSalesOrders[[#This Row],[Product Code]],tblProductMaster[Product Code],tblProductMaster[Product Name],"unknown")</f>
        <v>LED Desk Lamp</v>
      </c>
      <c r="F11" s="8" t="str">
        <f>VLOOKUP(tblSalesOrders[[#This Row],[Product Code]],tblProductMaster[],3,FALSE)</f>
        <v>Office Accessories</v>
      </c>
      <c r="G11" s="8" t="str">
        <f>_xlfn.XLOOKUP(tblSalesOrders[[#This Row],[Product Code]],tblProductMaster[Product Code],tblProductMaster[Supplier],"unknown",0)</f>
        <v>Orbit Wholesale</v>
      </c>
      <c r="H11" s="3">
        <v>10</v>
      </c>
      <c r="I11" s="9">
        <f>_xlfn.XLOOKUP(tblSalesOrders[[#This Row],[Product Code]],tblProductMaster[Product Code],tblProductMaster[Unit Cost],0,0)</f>
        <v>720</v>
      </c>
    </row>
    <row r="12" spans="1:9" ht="15" x14ac:dyDescent="0.25">
      <c r="A12" s="2" t="s">
        <v>136</v>
      </c>
      <c r="B12" s="4">
        <v>46241</v>
      </c>
      <c r="C12" s="2" t="s">
        <v>137</v>
      </c>
      <c r="D12" s="2" t="s">
        <v>49</v>
      </c>
      <c r="E12" s="5" t="str">
        <f>_xlfn.XLOOKUP(tblSalesOrders[[#This Row],[Product Code]],tblProductMaster[Product Code],tblProductMaster[Product Name],"unknown")</f>
        <v>Laser Printer P220</v>
      </c>
      <c r="F12" s="5" t="str">
        <f>VLOOKUP(tblSalesOrders[[#This Row],[Product Code]],tblProductMaster[],3,FALSE)</f>
        <v>Printers</v>
      </c>
      <c r="G12" s="5" t="str">
        <f>_xlfn.XLOOKUP(tblSalesOrders[[#This Row],[Product Code]],tblProductMaster[Product Code],tblProductMaster[Supplier],"unknown",0)</f>
        <v>Office Machines India</v>
      </c>
      <c r="H12" s="2">
        <v>2</v>
      </c>
      <c r="I12" s="6">
        <f>_xlfn.XLOOKUP(tblSalesOrders[[#This Row],[Product Code]],tblProductMaster[Product Code],tblProductMaster[Unit Cost],0,0)</f>
        <v>12800</v>
      </c>
    </row>
    <row r="13" spans="1:9" ht="15" x14ac:dyDescent="0.25">
      <c r="A13" s="3" t="s">
        <v>138</v>
      </c>
      <c r="B13" s="7">
        <v>46242</v>
      </c>
      <c r="C13" s="3" t="s">
        <v>139</v>
      </c>
      <c r="D13" s="3" t="s">
        <v>101</v>
      </c>
      <c r="E13" s="8" t="str">
        <f>_xlfn.XLOOKUP(tblSalesOrders[[#This Row],[Product Code]],tblProductMaster[Product Code],tblProductMaster[Product Name],"unknown")</f>
        <v>HDMI Cable 2m</v>
      </c>
      <c r="F13" s="8" t="str">
        <f>VLOOKUP(tblSalesOrders[[#This Row],[Product Code]],tblProductMaster[],3,FALSE)</f>
        <v>Computer Accessories</v>
      </c>
      <c r="G13" s="8" t="str">
        <f>_xlfn.XLOOKUP(tblSalesOrders[[#This Row],[Product Code]],tblProductMaster[Product Code],tblProductMaster[Supplier],"unknown",0)</f>
        <v>Northstar Distributors</v>
      </c>
      <c r="H13" s="3">
        <v>30</v>
      </c>
      <c r="I13" s="9">
        <f>_xlfn.XLOOKUP(tblSalesOrders[[#This Row],[Product Code]],tblProductMaster[Product Code],tblProductMaster[Unit Cost],0,0)</f>
        <v>260</v>
      </c>
    </row>
    <row r="14" spans="1:9" ht="15" x14ac:dyDescent="0.25">
      <c r="A14" s="2" t="s">
        <v>140</v>
      </c>
      <c r="B14" s="4">
        <v>46243</v>
      </c>
      <c r="C14" s="2" t="s">
        <v>141</v>
      </c>
      <c r="D14" s="2" t="s">
        <v>37</v>
      </c>
      <c r="E14" s="5" t="str">
        <f>_xlfn.XLOOKUP(tblSalesOrders[[#This Row],[Product Code]],tblProductMaster[Product Code],tblProductMaster[Product Name],"unknown")</f>
        <v>Bluetooth Speaker Mini</v>
      </c>
      <c r="F14" s="5" t="str">
        <f>VLOOKUP(tblSalesOrders[[#This Row],[Product Code]],tblProductMaster[],3,FALSE)</f>
        <v>Audio</v>
      </c>
      <c r="G14" s="5" t="str">
        <f>_xlfn.XLOOKUP(tblSalesOrders[[#This Row],[Product Code]],tblProductMaster[Product Code],tblProductMaster[Supplier],"unknown",0)</f>
        <v>Sonic Trade House</v>
      </c>
      <c r="H14" s="2">
        <v>7</v>
      </c>
      <c r="I14" s="6">
        <f>_xlfn.XLOOKUP(tblSalesOrders[[#This Row],[Product Code]],tblProductMaster[Product Code],tblProductMaster[Unit Cost],0,0)</f>
        <v>1350</v>
      </c>
    </row>
    <row r="15" spans="1:9" ht="15" x14ac:dyDescent="0.25">
      <c r="A15" s="3" t="s">
        <v>142</v>
      </c>
      <c r="B15" s="7">
        <v>46244</v>
      </c>
      <c r="C15" s="3" t="s">
        <v>143</v>
      </c>
      <c r="D15" s="3" t="s">
        <v>72</v>
      </c>
      <c r="E15" s="8" t="str">
        <f>_xlfn.XLOOKUP(tblSalesOrders[[#This Row],[Product Code]],tblProductMaster[Product Code],tblProductMaster[Product Name],"unknown")</f>
        <v>Height Adjustable Desk</v>
      </c>
      <c r="F15" s="8" t="str">
        <f>VLOOKUP(tblSalesOrders[[#This Row],[Product Code]],tblProductMaster[],3,FALSE)</f>
        <v>Furniture</v>
      </c>
      <c r="G15" s="8" t="str">
        <f>_xlfn.XLOOKUP(tblSalesOrders[[#This Row],[Product Code]],tblProductMaster[Product Code],tblProductMaster[Supplier],"unknown",0)</f>
        <v>Urban Workspace</v>
      </c>
      <c r="H15" s="3">
        <v>1</v>
      </c>
      <c r="I15" s="9">
        <f>_xlfn.XLOOKUP(tblSalesOrders[[#This Row],[Product Code]],tblProductMaster[Product Code],tblProductMaster[Unit Cost],0,0)</f>
        <v>14500</v>
      </c>
    </row>
    <row r="16" spans="1:9" ht="15" x14ac:dyDescent="0.25">
      <c r="A16" s="2" t="s">
        <v>144</v>
      </c>
      <c r="B16" s="4">
        <v>46244</v>
      </c>
      <c r="C16" s="2" t="s">
        <v>145</v>
      </c>
      <c r="D16" s="2" t="s">
        <v>107</v>
      </c>
      <c r="E16" s="5" t="str">
        <f>_xlfn.XLOOKUP(tblSalesOrders[[#This Row],[Product Code]],tblProductMaster[Product Code],tblProductMaster[Product Name],"unknown")</f>
        <v>Surge Protector 6 Socket</v>
      </c>
      <c r="F16" s="5" t="str">
        <f>VLOOKUP(tblSalesOrders[[#This Row],[Product Code]],tblProductMaster[],3,FALSE)</f>
        <v>Electrical</v>
      </c>
      <c r="G16" s="5" t="str">
        <f>_xlfn.XLOOKUP(tblSalesOrders[[#This Row],[Product Code]],tblProductMaster[Product Code],tblProductMaster[Supplier],"unknown",0)</f>
        <v>Metro Tech Supply</v>
      </c>
      <c r="H16" s="2">
        <v>12</v>
      </c>
      <c r="I16" s="6">
        <f>_xlfn.XLOOKUP(tblSalesOrders[[#This Row],[Product Code]],tblProductMaster[Product Code],tblProductMaster[Unit Cost],0,0)</f>
        <v>650</v>
      </c>
    </row>
    <row r="17" spans="1:9" ht="15" x14ac:dyDescent="0.25">
      <c r="A17" s="3" t="s">
        <v>146</v>
      </c>
      <c r="B17" s="7">
        <v>46245</v>
      </c>
      <c r="C17" s="3" t="s">
        <v>147</v>
      </c>
      <c r="D17" s="3" t="s">
        <v>20</v>
      </c>
      <c r="E17" s="8" t="str">
        <f>_xlfn.XLOOKUP(tblSalesOrders[[#This Row],[Product Code]],tblProductMaster[Product Code],tblProductMaster[Product Name],"unknown")</f>
        <v>USB-C Hub 7-in-1</v>
      </c>
      <c r="F17" s="8" t="str">
        <f>VLOOKUP(tblSalesOrders[[#This Row],[Product Code]],tblProductMaster[],3,FALSE)</f>
        <v>Computer Accessories</v>
      </c>
      <c r="G17" s="8" t="str">
        <f>_xlfn.XLOOKUP(tblSalesOrders[[#This Row],[Product Code]],tblProductMaster[Product Code],tblProductMaster[Supplier],"unknown",0)</f>
        <v>Northstar Distributors</v>
      </c>
      <c r="H17" s="3">
        <v>9</v>
      </c>
      <c r="I17" s="9">
        <f>_xlfn.XLOOKUP(tblSalesOrders[[#This Row],[Product Code]],tblProductMaster[Product Code],tblProductMaster[Unit Cost],0,0)</f>
        <v>1250</v>
      </c>
    </row>
    <row r="18" spans="1:9" ht="15" x14ac:dyDescent="0.25">
      <c r="A18" s="2" t="s">
        <v>148</v>
      </c>
      <c r="B18" s="4">
        <v>46246</v>
      </c>
      <c r="C18" s="2" t="s">
        <v>149</v>
      </c>
      <c r="D18" s="2" t="s">
        <v>105</v>
      </c>
      <c r="E18" s="5" t="str">
        <f>_xlfn.XLOOKUP(tblSalesOrders[[#This Row],[Product Code]],tblProductMaster[Product Code],tblProductMaster[Product Name],"unknown")</f>
        <v>Conference Microphone</v>
      </c>
      <c r="F18" s="5" t="str">
        <f>VLOOKUP(tblSalesOrders[[#This Row],[Product Code]],tblProductMaster[],3,FALSE)</f>
        <v>Audio</v>
      </c>
      <c r="G18" s="5" t="str">
        <f>_xlfn.XLOOKUP(tblSalesOrders[[#This Row],[Product Code]],tblProductMaster[Product Code],tblProductMaster[Supplier],"unknown",0)</f>
        <v>Sonic Trade House</v>
      </c>
      <c r="H18" s="2">
        <v>4</v>
      </c>
      <c r="I18" s="6">
        <f>_xlfn.XLOOKUP(tblSalesOrders[[#This Row],[Product Code]],tblProductMaster[Product Code],tblProductMaster[Unit Cost],0,0)</f>
        <v>3600</v>
      </c>
    </row>
    <row r="19" spans="1:9" ht="15" x14ac:dyDescent="0.25">
      <c r="A19" s="3" t="s">
        <v>150</v>
      </c>
      <c r="B19" s="7">
        <v>46247</v>
      </c>
      <c r="C19" s="3" t="s">
        <v>151</v>
      </c>
      <c r="D19" s="3" t="s">
        <v>61</v>
      </c>
      <c r="E19" s="8" t="str">
        <f>_xlfn.XLOOKUP(tblSalesOrders[[#This Row],[Product Code]],tblProductMaster[Product Code],tblProductMaster[Product Name],"unknown")</f>
        <v>Gel Pen Box - Blue</v>
      </c>
      <c r="F19" s="8" t="str">
        <f>VLOOKUP(tblSalesOrders[[#This Row],[Product Code]],tblProductMaster[],3,FALSE)</f>
        <v>Stationery</v>
      </c>
      <c r="G19" s="8" t="str">
        <f>_xlfn.XLOOKUP(tblSalesOrders[[#This Row],[Product Code]],tblProductMaster[Product Code],tblProductMaster[Supplier],"unknown",0)</f>
        <v>Classic Office Mart</v>
      </c>
      <c r="H19" s="3">
        <v>40</v>
      </c>
      <c r="I19" s="9">
        <f>_xlfn.XLOOKUP(tblSalesOrders[[#This Row],[Product Code]],tblProductMaster[Product Code],tblProductMaster[Unit Cost],0,0)</f>
        <v>120</v>
      </c>
    </row>
    <row r="20" spans="1:9" ht="15" x14ac:dyDescent="0.25">
      <c r="A20" s="2" t="s">
        <v>152</v>
      </c>
      <c r="B20" s="4">
        <v>46248</v>
      </c>
      <c r="C20" s="2" t="s">
        <v>153</v>
      </c>
      <c r="D20" s="2" t="s">
        <v>95</v>
      </c>
      <c r="E20" s="5" t="str">
        <f>_xlfn.XLOOKUP(tblSalesOrders[[#This Row],[Product Code]],tblProductMaster[Product Code],tblProductMaster[Product Name],"unknown")</f>
        <v>Barcode Scanner USB</v>
      </c>
      <c r="F20" s="5" t="str">
        <f>VLOOKUP(tblSalesOrders[[#This Row],[Product Code]],tblProductMaster[],3,FALSE)</f>
        <v>Retail Equipment</v>
      </c>
      <c r="G20" s="5" t="str">
        <f>_xlfn.XLOOKUP(tblSalesOrders[[#This Row],[Product Code]],tblProductMaster[Product Code],tblProductMaster[Supplier],"unknown",0)</f>
        <v>Metro Tech Supply</v>
      </c>
      <c r="H20" s="2">
        <v>5</v>
      </c>
      <c r="I20" s="6">
        <f>_xlfn.XLOOKUP(tblSalesOrders[[#This Row],[Product Code]],tblProductMaster[Product Code],tblProductMaster[Unit Cost],0,0)</f>
        <v>2400</v>
      </c>
    </row>
    <row r="21" spans="1:9" ht="15" x14ac:dyDescent="0.25">
      <c r="A21" s="3" t="s">
        <v>154</v>
      </c>
      <c r="B21" s="7">
        <v>46249</v>
      </c>
      <c r="C21" s="3" t="s">
        <v>155</v>
      </c>
      <c r="D21" s="3" t="s">
        <v>39</v>
      </c>
      <c r="E21" s="8" t="str">
        <f>_xlfn.XLOOKUP(tblSalesOrders[[#This Row],[Product Code]],tblProductMaster[Product Code],tblProductMaster[Product Name],"unknown")</f>
        <v>Webcam Full HD</v>
      </c>
      <c r="F21" s="8" t="str">
        <f>VLOOKUP(tblSalesOrders[[#This Row],[Product Code]],tblProductMaster[],3,FALSE)</f>
        <v>Computer Accessories</v>
      </c>
      <c r="G21" s="8" t="str">
        <f>_xlfn.XLOOKUP(tblSalesOrders[[#This Row],[Product Code]],tblProductMaster[Product Code],tblProductMaster[Supplier],"unknown",0)</f>
        <v>Metro Tech Supply</v>
      </c>
      <c r="H21" s="3">
        <v>6</v>
      </c>
      <c r="I21" s="9">
        <f>_xlfn.XLOOKUP(tblSalesOrders[[#This Row],[Product Code]],tblProductMaster[Product Code],tblProductMaster[Unit Cost],0,0)</f>
        <v>1600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28E8-342E-4D37-BF51-6BC0961C33B4}">
  <dimension ref="A1:D21"/>
  <sheetViews>
    <sheetView showGridLines="0" tabSelected="1" workbookViewId="0">
      <pane ySplit="1" topLeftCell="A2" activePane="bottomLeft" state="frozen"/>
      <selection pane="bottomLeft" activeCell="E17" sqref="E17"/>
    </sheetView>
  </sheetViews>
  <sheetFormatPr defaultRowHeight="12.75" x14ac:dyDescent="0.2"/>
  <cols>
    <col min="1" max="1" width="24.140625" bestFit="1" customWidth="1"/>
    <col min="2" max="2" width="28.85546875" customWidth="1"/>
    <col min="3" max="3" width="13.140625" bestFit="1" customWidth="1"/>
    <col min="4" max="4" width="17.5703125" bestFit="1" customWidth="1"/>
    <col min="5" max="5" width="3.85546875" customWidth="1"/>
    <col min="6" max="6" width="13.42578125" bestFit="1" customWidth="1"/>
    <col min="7" max="7" width="4.140625" customWidth="1"/>
    <col min="8" max="8" width="8" customWidth="1"/>
  </cols>
  <sheetData>
    <row r="1" spans="1:4" x14ac:dyDescent="0.2">
      <c r="A1" s="1" t="s">
        <v>156</v>
      </c>
      <c r="B1" s="1" t="s">
        <v>112</v>
      </c>
      <c r="C1" s="1" t="s">
        <v>113</v>
      </c>
      <c r="D1" s="1" t="s">
        <v>115</v>
      </c>
    </row>
    <row r="2" spans="1:4" ht="15" x14ac:dyDescent="0.25">
      <c r="A2" s="2">
        <v>1</v>
      </c>
      <c r="B2" s="2" t="s">
        <v>120</v>
      </c>
      <c r="C2" s="4">
        <f>INDEX(tblSalesOrders[],MATCH(tblIndexMatchReport[[#This Row],[Order ID]],tblSalesOrders[Order ID],0),2)</f>
        <v>46236</v>
      </c>
      <c r="D2" s="5" t="str">
        <f>INDEX(tblSalesOrders[],MATCH(tblIndexMatchReport[[#This Row],[Order ID]],tblSalesOrders[Order ID],0),3)</f>
        <v>Crestline Foods</v>
      </c>
    </row>
    <row r="3" spans="1:4" ht="15" x14ac:dyDescent="0.25">
      <c r="A3" s="3">
        <v>2</v>
      </c>
      <c r="B3" s="3" t="s">
        <v>126</v>
      </c>
      <c r="C3" s="7">
        <f>INDEX(tblSalesOrders[],MATCH(tblIndexMatchReport[[#This Row],[Order ID]],tblSalesOrders[Order ID],0),2)</f>
        <v>46238</v>
      </c>
      <c r="D3" s="8" t="str">
        <f>INDEX(tblSalesOrders[],MATCH(tblIndexMatchReport[[#This Row],[Order ID]],tblSalesOrders[Order ID],0),3)</f>
        <v>Fusion Digital</v>
      </c>
    </row>
    <row r="4" spans="1:4" ht="15" x14ac:dyDescent="0.25">
      <c r="A4" s="2">
        <v>3</v>
      </c>
      <c r="B4" s="2" t="s">
        <v>132</v>
      </c>
      <c r="C4" s="4">
        <f>INDEX(tblSalesOrders[],MATCH(tblIndexMatchReport[[#This Row],[Order ID]],tblSalesOrders[Order ID],0),2)</f>
        <v>46240</v>
      </c>
      <c r="D4" s="5" t="str">
        <f>INDEX(tblSalesOrders[],MATCH(tblIndexMatchReport[[#This Row],[Order ID]],tblSalesOrders[Order ID],0),3)</f>
        <v>Indigo Stores</v>
      </c>
    </row>
    <row r="5" spans="1:4" ht="15" x14ac:dyDescent="0.25">
      <c r="A5" s="3">
        <v>4</v>
      </c>
      <c r="B5" s="3" t="s">
        <v>138</v>
      </c>
      <c r="C5" s="7">
        <f>INDEX(tblSalesOrders[],MATCH(tblIndexMatchReport[[#This Row],[Order ID]],tblSalesOrders[Order ID],0),2)</f>
        <v>46242</v>
      </c>
      <c r="D5" s="8" t="str">
        <f>INDEX(tblSalesOrders[],MATCH(tblIndexMatchReport[[#This Row],[Order ID]],tblSalesOrders[Order ID],0),3)</f>
        <v>Lotus Hospitality</v>
      </c>
    </row>
    <row r="6" spans="1:4" ht="15" x14ac:dyDescent="0.25">
      <c r="A6" s="2">
        <v>5</v>
      </c>
      <c r="B6" s="2" t="s">
        <v>144</v>
      </c>
      <c r="C6" s="4">
        <f>INDEX(tblSalesOrders[],MATCH(tblIndexMatchReport[[#This Row],[Order ID]],tblSalesOrders[Order ID],0),2)</f>
        <v>46244</v>
      </c>
      <c r="D6" s="5" t="str">
        <f>INDEX(tblSalesOrders[],MATCH(tblIndexMatchReport[[#This Row],[Order ID]],tblSalesOrders[Order ID],0),3)</f>
        <v>Orchid Enterprises</v>
      </c>
    </row>
    <row r="7" spans="1:4" ht="15" x14ac:dyDescent="0.25">
      <c r="A7" s="3">
        <v>6</v>
      </c>
      <c r="B7" s="3" t="s">
        <v>150</v>
      </c>
      <c r="C7" s="7">
        <f>INDEX(tblSalesOrders[],MATCH(tblIndexMatchReport[[#This Row],[Order ID]],tblSalesOrders[Order ID],0),2)</f>
        <v>46247</v>
      </c>
      <c r="D7" s="8" t="str">
        <f>INDEX(tblSalesOrders[],MATCH(tblIndexMatchReport[[#This Row],[Order ID]],tblSalesOrders[Order ID],0),3)</f>
        <v>Riverfront Mart</v>
      </c>
    </row>
    <row r="8" spans="1:4" ht="15" x14ac:dyDescent="0.25">
      <c r="A8" s="2">
        <v>7</v>
      </c>
      <c r="B8" s="2" t="s">
        <v>116</v>
      </c>
      <c r="C8" s="4">
        <f>INDEX(tblSalesOrders[],MATCH(tblIndexMatchReport[[#This Row],[Order ID]],tblSalesOrders[Order ID],0),2)</f>
        <v>46235</v>
      </c>
      <c r="D8" s="5" t="str">
        <f>INDEX(tblSalesOrders[],MATCH(tblIndexMatchReport[[#This Row],[Order ID]],tblSalesOrders[Order ID],0),3)</f>
        <v>Apex Consulting</v>
      </c>
    </row>
    <row r="9" spans="1:4" ht="15" x14ac:dyDescent="0.25">
      <c r="A9" s="3">
        <v>8</v>
      </c>
      <c r="B9" s="3" t="s">
        <v>124</v>
      </c>
      <c r="C9" s="7">
        <f>INDEX(tblSalesOrders[],MATCH(tblIndexMatchReport[[#This Row],[Order ID]],tblSalesOrders[Order ID],0),2)</f>
        <v>46237</v>
      </c>
      <c r="D9" s="8" t="str">
        <f>INDEX(tblSalesOrders[],MATCH(tblIndexMatchReport[[#This Row],[Order ID]],tblSalesOrders[Order ID],0),3)</f>
        <v>Evergreen Labs</v>
      </c>
    </row>
    <row r="10" spans="1:4" ht="15" x14ac:dyDescent="0.25">
      <c r="A10" s="2">
        <v>9</v>
      </c>
      <c r="B10" s="2" t="s">
        <v>136</v>
      </c>
      <c r="C10" s="4">
        <f>INDEX(tblSalesOrders[],MATCH(tblIndexMatchReport[[#This Row],[Order ID]],tblSalesOrders[Order ID],0),2)</f>
        <v>46241</v>
      </c>
      <c r="D10" s="5" t="str">
        <f>INDEX(tblSalesOrders[],MATCH(tblIndexMatchReport[[#This Row],[Order ID]],tblSalesOrders[Order ID],0),3)</f>
        <v>Keystone Pharma</v>
      </c>
    </row>
    <row r="11" spans="1:4" ht="15" x14ac:dyDescent="0.25">
      <c r="A11" s="3">
        <v>10</v>
      </c>
      <c r="B11" s="3" t="s">
        <v>142</v>
      </c>
      <c r="C11" s="7">
        <f>INDEX(tblSalesOrders[],MATCH(tblIndexMatchReport[[#This Row],[Order ID]],tblSalesOrders[Order ID],0),2)</f>
        <v>46244</v>
      </c>
      <c r="D11" s="8" t="str">
        <f>INDEX(tblSalesOrders[],MATCH(tblIndexMatchReport[[#This Row],[Order ID]],tblSalesOrders[Order ID],0),3)</f>
        <v>Nova Architects</v>
      </c>
    </row>
    <row r="12" spans="1:4" ht="15" x14ac:dyDescent="0.25">
      <c r="A12" s="2">
        <v>11</v>
      </c>
      <c r="B12" s="2" t="s">
        <v>148</v>
      </c>
      <c r="C12" s="4">
        <f>INDEX(tblSalesOrders[],MATCH(tblIndexMatchReport[[#This Row],[Order ID]],tblSalesOrders[Order ID],0),2)</f>
        <v>46246</v>
      </c>
      <c r="D12" s="5" t="str">
        <f>INDEX(tblSalesOrders[],MATCH(tblIndexMatchReport[[#This Row],[Order ID]],tblSalesOrders[Order ID],0),3)</f>
        <v>Quantum Learning</v>
      </c>
    </row>
    <row r="13" spans="1:4" ht="15" x14ac:dyDescent="0.25">
      <c r="A13" s="3">
        <v>12</v>
      </c>
      <c r="B13" s="3" t="s">
        <v>154</v>
      </c>
      <c r="C13" s="7">
        <f>INDEX(tblSalesOrders[],MATCH(tblIndexMatchReport[[#This Row],[Order ID]],tblSalesOrders[Order ID],0),2)</f>
        <v>46249</v>
      </c>
      <c r="D13" s="8" t="str">
        <f>INDEX(tblSalesOrders[],MATCH(tblIndexMatchReport[[#This Row],[Order ID]],tblSalesOrders[Order ID],0),3)</f>
        <v>Trinity Solutions</v>
      </c>
    </row>
    <row r="14" spans="1:4" ht="15" x14ac:dyDescent="0.25">
      <c r="A14" s="2">
        <v>13</v>
      </c>
      <c r="B14" s="2" t="s">
        <v>118</v>
      </c>
      <c r="C14" s="4">
        <f>INDEX(tblSalesOrders[],MATCH(tblIndexMatchReport[[#This Row],[Order ID]],tblSalesOrders[Order ID],0),2)</f>
        <v>46235</v>
      </c>
      <c r="D14" s="5" t="str">
        <f>INDEX(tblSalesOrders[],MATCH(tblIndexMatchReport[[#This Row],[Order ID]],tblSalesOrders[Order ID],0),3)</f>
        <v>BlueSky Retail</v>
      </c>
    </row>
    <row r="15" spans="1:4" ht="15" x14ac:dyDescent="0.25">
      <c r="A15" s="3">
        <v>14</v>
      </c>
      <c r="B15" s="3" t="s">
        <v>128</v>
      </c>
      <c r="C15" s="7">
        <f>INDEX(tblSalesOrders[],MATCH(tblIndexMatchReport[[#This Row],[Order ID]],tblSalesOrders[Order ID],0),2)</f>
        <v>46238</v>
      </c>
      <c r="D15" s="8" t="str">
        <f>INDEX(tblSalesOrders[],MATCH(tblIndexMatchReport[[#This Row],[Order ID]],tblSalesOrders[Order ID],0),3)</f>
        <v>Greenfield School</v>
      </c>
    </row>
    <row r="16" spans="1:4" ht="15" x14ac:dyDescent="0.25">
      <c r="A16" s="2">
        <v>15</v>
      </c>
      <c r="B16" s="2" t="s">
        <v>134</v>
      </c>
      <c r="C16" s="4">
        <f>INDEX(tblSalesOrders[],MATCH(tblIndexMatchReport[[#This Row],[Order ID]],tblSalesOrders[Order ID],0),2)</f>
        <v>46240</v>
      </c>
      <c r="D16" s="5" t="str">
        <f>INDEX(tblSalesOrders[],MATCH(tblIndexMatchReport[[#This Row],[Order ID]],tblSalesOrders[Order ID],0),3)</f>
        <v>Jupiter Systems</v>
      </c>
    </row>
    <row r="17" spans="1:4" ht="15" x14ac:dyDescent="0.25">
      <c r="A17" s="3">
        <v>16</v>
      </c>
      <c r="B17" s="3" t="s">
        <v>140</v>
      </c>
      <c r="C17" s="7">
        <f>INDEX(tblSalesOrders[],MATCH(tblIndexMatchReport[[#This Row],[Order ID]],tblSalesOrders[Order ID],0),2)</f>
        <v>46243</v>
      </c>
      <c r="D17" s="8" t="str">
        <f>INDEX(tblSalesOrders[],MATCH(tblIndexMatchReport[[#This Row],[Order ID]],tblSalesOrders[Order ID],0),3)</f>
        <v>Metro Diagnostics</v>
      </c>
    </row>
    <row r="18" spans="1:4" ht="15" x14ac:dyDescent="0.25">
      <c r="A18" s="2">
        <v>17</v>
      </c>
      <c r="B18" s="2" t="s">
        <v>146</v>
      </c>
      <c r="C18" s="4">
        <f>INDEX(tblSalesOrders[],MATCH(tblIndexMatchReport[[#This Row],[Order ID]],tblSalesOrders[Order ID],0),2)</f>
        <v>46245</v>
      </c>
      <c r="D18" s="5" t="str">
        <f>INDEX(tblSalesOrders[],MATCH(tblIndexMatchReport[[#This Row],[Order ID]],tblSalesOrders[Order ID],0),3)</f>
        <v>Prime Logistics</v>
      </c>
    </row>
    <row r="19" spans="1:4" ht="15" x14ac:dyDescent="0.25">
      <c r="A19" s="3">
        <v>18</v>
      </c>
      <c r="B19" s="3" t="s">
        <v>152</v>
      </c>
      <c r="C19" s="7">
        <f>INDEX(tblSalesOrders[],MATCH(tblIndexMatchReport[[#This Row],[Order ID]],tblSalesOrders[Order ID],0),2)</f>
        <v>46248</v>
      </c>
      <c r="D19" s="8" t="str">
        <f>INDEX(tblSalesOrders[],MATCH(tblIndexMatchReport[[#This Row],[Order ID]],tblSalesOrders[Order ID],0),3)</f>
        <v>Summit Retail</v>
      </c>
    </row>
    <row r="20" spans="1:4" ht="15" x14ac:dyDescent="0.25">
      <c r="A20" s="2">
        <v>19</v>
      </c>
      <c r="B20" s="2" t="s">
        <v>122</v>
      </c>
      <c r="C20" s="4">
        <f>INDEX(tblSalesOrders[],MATCH(tblIndexMatchReport[[#This Row],[Order ID]],tblSalesOrders[Order ID],0),2)</f>
        <v>46236</v>
      </c>
      <c r="D20" s="5" t="str">
        <f>INDEX(tblSalesOrders[],MATCH(tblIndexMatchReport[[#This Row],[Order ID]],tblSalesOrders[Order ID],0),3)</f>
        <v>Delta Services</v>
      </c>
    </row>
    <row r="21" spans="1:4" ht="15" x14ac:dyDescent="0.25">
      <c r="A21" s="3">
        <v>20</v>
      </c>
      <c r="B21" s="3" t="s">
        <v>130</v>
      </c>
      <c r="C21" s="7">
        <f>INDEX(tblSalesOrders[],MATCH(tblIndexMatchReport[[#This Row],[Order ID]],tblSalesOrders[Order ID],0),2)</f>
        <v>46239</v>
      </c>
      <c r="D21" s="8" t="str">
        <f>INDEX(tblSalesOrders[],MATCH(tblIndexMatchReport[[#This Row],[Order ID]],tblSalesOrders[Order ID],0),3)</f>
        <v>Horizon Traders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25F10A-B52B-4BDD-9DA2-3DDB4EF911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Product_Master</vt:lpstr>
      <vt:lpstr>Sales_Orders</vt:lpstr>
      <vt:lpstr>Index_Match_Report</vt:lpstr>
    </vt:vector>
  </TitlesOfParts>
  <Company>Foundry Networks,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Davis</dc:creator>
  <cp:lastModifiedBy>Sukhwinder Sidhu</cp:lastModifiedBy>
  <dcterms:created xsi:type="dcterms:W3CDTF">2006-11-03T19:50:03Z</dcterms:created>
  <dcterms:modified xsi:type="dcterms:W3CDTF">2026-08-17T05:20:31Z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-1535248582</vt:i4>
  </property>
  <property fmtid="{D5CDD505-2E9C-101B-9397-08002B2CF9AE}" pid="3" name="_EmailSubject">
    <vt:lpwstr>Pricing Advisory: New Price Lists and Quote Tools</vt:lpwstr>
  </property>
  <property fmtid="{D5CDD505-2E9C-101B-9397-08002B2CF9AE}" pid="4" name="_AuthorEmail">
    <vt:lpwstr>mdavis@foundrynet.com</vt:lpwstr>
  </property>
  <property fmtid="{D5CDD505-2E9C-101B-9397-08002B2CF9AE}" pid="5" name="_AuthorEmailDisplayName">
    <vt:lpwstr>Matt Davis</vt:lpwstr>
  </property>
  <property fmtid="{D5CDD505-2E9C-101B-9397-08002B2CF9AE}" pid="6" name="_ReviewingToolsShownOnce">
    <vt:lpwstr/>
  </property>
</Properties>
</file>